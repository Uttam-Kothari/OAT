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E:\Sem-3\OAT\Lab-9\"/>
    </mc:Choice>
  </mc:AlternateContent>
  <xr:revisionPtr revIDLastSave="0" documentId="13_ncr:1_{5CC5F19B-04DC-4EB3-AAF1-6E4BEA2C89B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pivotCaches>
    <pivotCache cacheId="6" r:id="rId3"/>
    <pivotCache cacheId="1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2" i="1"/>
  <c r="G2" i="1"/>
</calcChain>
</file>

<file path=xl/sharedStrings.xml><?xml version="1.0" encoding="utf-8"?>
<sst xmlns="http://schemas.openxmlformats.org/spreadsheetml/2006/main" count="134" uniqueCount="64">
  <si>
    <t>Name</t>
  </si>
  <si>
    <t>Age</t>
  </si>
  <si>
    <t>Department</t>
  </si>
  <si>
    <t>Experience (Years)</t>
  </si>
  <si>
    <t>John Smith</t>
  </si>
  <si>
    <t>Sales</t>
  </si>
  <si>
    <t>Emma Johnson</t>
  </si>
  <si>
    <t>HR</t>
  </si>
  <si>
    <t>Liam Brown</t>
  </si>
  <si>
    <t>Finance</t>
  </si>
  <si>
    <t>Olivia Davis</t>
  </si>
  <si>
    <t>Marketing</t>
  </si>
  <si>
    <t>Noah Wilson</t>
  </si>
  <si>
    <t>Ava Miller</t>
  </si>
  <si>
    <t>IT</t>
  </si>
  <si>
    <t>William Moore</t>
  </si>
  <si>
    <t>Operations</t>
  </si>
  <si>
    <t>Sophia Taylor</t>
  </si>
  <si>
    <t>James Anderson</t>
  </si>
  <si>
    <t>Isabella Thomas</t>
  </si>
  <si>
    <t>Benjamin Jackson</t>
  </si>
  <si>
    <t>Mia White</t>
  </si>
  <si>
    <t>Lucas Harris</t>
  </si>
  <si>
    <t>Charlotte Martin</t>
  </si>
  <si>
    <t>Henry Thompson</t>
  </si>
  <si>
    <t>Amelia Garcia</t>
  </si>
  <si>
    <t>Alexander Martinez</t>
  </si>
  <si>
    <t>Harper Robinson</t>
  </si>
  <si>
    <t>Daniel Clark</t>
  </si>
  <si>
    <t>Evelyn Rodriguez</t>
  </si>
  <si>
    <t>Michael Lewis</t>
  </si>
  <si>
    <t>Abigail Lee</t>
  </si>
  <si>
    <t>Ethan Walker</t>
  </si>
  <si>
    <t>Emily Hall</t>
  </si>
  <si>
    <t>Matthew Allen</t>
  </si>
  <si>
    <t>Ella Young</t>
  </si>
  <si>
    <t>David King</t>
  </si>
  <si>
    <t>Scarlett Wright</t>
  </si>
  <si>
    <t>Joseph Scott</t>
  </si>
  <si>
    <t>Grace Green</t>
  </si>
  <si>
    <t>COUNT</t>
  </si>
  <si>
    <t>COUNTIF</t>
  </si>
  <si>
    <t>SUMIF</t>
  </si>
  <si>
    <t>IF</t>
  </si>
  <si>
    <t xml:space="preserve">Salary </t>
  </si>
  <si>
    <t xml:space="preserve">Sales </t>
  </si>
  <si>
    <t>REGION</t>
  </si>
  <si>
    <t>PRODUCT</t>
  </si>
  <si>
    <t>SALES</t>
  </si>
  <si>
    <t>NORTH</t>
  </si>
  <si>
    <t>SOUTH</t>
  </si>
  <si>
    <t>WEST</t>
  </si>
  <si>
    <t>EAST</t>
  </si>
  <si>
    <t>LEPTOP</t>
  </si>
  <si>
    <t>MOBILE</t>
  </si>
  <si>
    <t>T.V.</t>
  </si>
  <si>
    <t>CEMERA</t>
  </si>
  <si>
    <t>TABLET</t>
  </si>
  <si>
    <t>COMPUTER</t>
  </si>
  <si>
    <t>Row Labels</t>
  </si>
  <si>
    <t>Grand Total</t>
  </si>
  <si>
    <t>Sum of SALES</t>
  </si>
  <si>
    <t>Column Labels</t>
  </si>
  <si>
    <t xml:space="preserve">Sum of 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</si>
</sst>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1"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cat>
            <c:strRef>
              <c:f>Sheet1!$C$2:$C$11</c:f>
              <c:strCache>
                <c:ptCount val="10"/>
                <c:pt idx="0">
                  <c:v>Sales</c:v>
                </c:pt>
                <c:pt idx="1">
                  <c:v>HR</c:v>
                </c:pt>
                <c:pt idx="2">
                  <c:v>Finance</c:v>
                </c:pt>
                <c:pt idx="3">
                  <c:v>Marketing</c:v>
                </c:pt>
                <c:pt idx="4">
                  <c:v>Sales</c:v>
                </c:pt>
                <c:pt idx="5">
                  <c:v>IT</c:v>
                </c:pt>
                <c:pt idx="6">
                  <c:v>Operations</c:v>
                </c:pt>
                <c:pt idx="7">
                  <c:v>Sales</c:v>
                </c:pt>
                <c:pt idx="8">
                  <c:v>IT</c:v>
                </c:pt>
                <c:pt idx="9">
                  <c:v>HR</c:v>
                </c:pt>
              </c:strCache>
            </c:strRef>
          </c:cat>
          <c:val>
            <c:numRef>
              <c:f>Sheet1!$F$2:$F$11</c:f>
              <c:numCache>
                <c:formatCode>General</c:formatCode>
                <c:ptCount val="10"/>
                <c:pt idx="0" formatCode="#,##0">
                  <c:v>200</c:v>
                </c:pt>
                <c:pt idx="1">
                  <c:v>500</c:v>
                </c:pt>
                <c:pt idx="2">
                  <c:v>300</c:v>
                </c:pt>
                <c:pt idx="3" formatCode="#,##0">
                  <c:v>400</c:v>
                </c:pt>
                <c:pt idx="4" formatCode="#,##0">
                  <c:v>250</c:v>
                </c:pt>
                <c:pt idx="5">
                  <c:v>424</c:v>
                </c:pt>
                <c:pt idx="6">
                  <c:v>653</c:v>
                </c:pt>
                <c:pt idx="7" formatCode="#,##0">
                  <c:v>1111</c:v>
                </c:pt>
                <c:pt idx="8">
                  <c:v>569</c:v>
                </c:pt>
                <c:pt idx="9">
                  <c:v>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4-4FAB-A8C2-875A545D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Sheet1!$C$2:$C$11</c:f>
              <c:strCache>
                <c:ptCount val="10"/>
                <c:pt idx="0">
                  <c:v>Sales</c:v>
                </c:pt>
                <c:pt idx="1">
                  <c:v>HR</c:v>
                </c:pt>
                <c:pt idx="2">
                  <c:v>Finance</c:v>
                </c:pt>
                <c:pt idx="3">
                  <c:v>Marketing</c:v>
                </c:pt>
                <c:pt idx="4">
                  <c:v>Sales</c:v>
                </c:pt>
                <c:pt idx="5">
                  <c:v>IT</c:v>
                </c:pt>
                <c:pt idx="6">
                  <c:v>Operations</c:v>
                </c:pt>
                <c:pt idx="7">
                  <c:v>Sales</c:v>
                </c:pt>
                <c:pt idx="8">
                  <c:v>IT</c:v>
                </c:pt>
                <c:pt idx="9">
                  <c:v>HR</c:v>
                </c:pt>
              </c:strCache>
            </c:strRef>
          </c:cat>
          <c:val>
            <c:numRef>
              <c:f>Sheet1!$F$2:$F$11</c:f>
              <c:numCache>
                <c:formatCode>General</c:formatCode>
                <c:ptCount val="10"/>
                <c:pt idx="0" formatCode="#,##0">
                  <c:v>200</c:v>
                </c:pt>
                <c:pt idx="1">
                  <c:v>500</c:v>
                </c:pt>
                <c:pt idx="2">
                  <c:v>300</c:v>
                </c:pt>
                <c:pt idx="3" formatCode="#,##0">
                  <c:v>400</c:v>
                </c:pt>
                <c:pt idx="4" formatCode="#,##0">
                  <c:v>250</c:v>
                </c:pt>
                <c:pt idx="5">
                  <c:v>424</c:v>
                </c:pt>
                <c:pt idx="6">
                  <c:v>653</c:v>
                </c:pt>
                <c:pt idx="7" formatCode="#,##0">
                  <c:v>1111</c:v>
                </c:pt>
                <c:pt idx="8">
                  <c:v>569</c:v>
                </c:pt>
                <c:pt idx="9">
                  <c:v>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E-454B-B3DB-C7F923DB61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7826127"/>
        <c:axId val="917829487"/>
      </c:lineChart>
      <c:catAx>
        <c:axId val="91782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829487"/>
        <c:crosses val="autoZero"/>
        <c:auto val="1"/>
        <c:lblAlgn val="ctr"/>
        <c:lblOffset val="100"/>
        <c:noMultiLvlLbl val="0"/>
      </c:catAx>
      <c:valAx>
        <c:axId val="9178294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91782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444444444444446E-2"/>
          <c:y val="0.16655110819480898"/>
          <c:w val="0.93888888888888888"/>
          <c:h val="0.557145669291338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Sheet1!$C$2:$C$11</c:f>
              <c:strCache>
                <c:ptCount val="10"/>
                <c:pt idx="0">
                  <c:v>Sales</c:v>
                </c:pt>
                <c:pt idx="1">
                  <c:v>HR</c:v>
                </c:pt>
                <c:pt idx="2">
                  <c:v>Finance</c:v>
                </c:pt>
                <c:pt idx="3">
                  <c:v>Marketing</c:v>
                </c:pt>
                <c:pt idx="4">
                  <c:v>Sales</c:v>
                </c:pt>
                <c:pt idx="5">
                  <c:v>IT</c:v>
                </c:pt>
                <c:pt idx="6">
                  <c:v>Operations</c:v>
                </c:pt>
                <c:pt idx="7">
                  <c:v>Sales</c:v>
                </c:pt>
                <c:pt idx="8">
                  <c:v>IT</c:v>
                </c:pt>
                <c:pt idx="9">
                  <c:v>HR</c:v>
                </c:pt>
              </c:strCache>
            </c:strRef>
          </c:cat>
          <c:val>
            <c:numRef>
              <c:f>Sheet1!$F$2:$F$11</c:f>
              <c:numCache>
                <c:formatCode>General</c:formatCode>
                <c:ptCount val="10"/>
                <c:pt idx="0" formatCode="#,##0">
                  <c:v>200</c:v>
                </c:pt>
                <c:pt idx="1">
                  <c:v>500</c:v>
                </c:pt>
                <c:pt idx="2">
                  <c:v>300</c:v>
                </c:pt>
                <c:pt idx="3" formatCode="#,##0">
                  <c:v>400</c:v>
                </c:pt>
                <c:pt idx="4" formatCode="#,##0">
                  <c:v>250</c:v>
                </c:pt>
                <c:pt idx="5">
                  <c:v>424</c:v>
                </c:pt>
                <c:pt idx="6">
                  <c:v>653</c:v>
                </c:pt>
                <c:pt idx="7" formatCode="#,##0">
                  <c:v>1111</c:v>
                </c:pt>
                <c:pt idx="8">
                  <c:v>569</c:v>
                </c:pt>
                <c:pt idx="9">
                  <c:v>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7-4CBF-BB6E-5C922301827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17841007"/>
        <c:axId val="917841487"/>
      </c:barChart>
      <c:catAx>
        <c:axId val="91784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841487"/>
        <c:crosses val="autoZero"/>
        <c:auto val="1"/>
        <c:lblAlgn val="ctr"/>
        <c:lblOffset val="100"/>
        <c:noMultiLvlLbl val="0"/>
      </c:catAx>
      <c:valAx>
        <c:axId val="9178414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91784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609599</xdr:colOff>
      <xdr:row>0</xdr:row>
      <xdr:rowOff>185737</xdr:rowOff>
    </xdr:from>
    <xdr:to>
      <xdr:col>18</xdr:col>
      <xdr:colOff>0</xdr:colOff>
      <xdr:row>11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6706F6-C812-6E7D-B5DB-FFF799584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13</xdr:row>
      <xdr:rowOff>4763</xdr:rowOff>
    </xdr:from>
    <xdr:to>
      <xdr:col>18</xdr:col>
      <xdr:colOff>9525</xdr:colOff>
      <xdr:row>23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59E110-4B78-3451-2438-3F6FCA576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</xdr:colOff>
      <xdr:row>25</xdr:row>
      <xdr:rowOff>14286</xdr:rowOff>
    </xdr:from>
    <xdr:to>
      <xdr:col>17</xdr:col>
      <xdr:colOff>600075</xdr:colOff>
      <xdr:row>35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D9F9F0-7B48-661F-21BE-CE9D793AF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tudent" refreshedDate="46239.453689467591" createdVersion="8" refreshedVersion="8" minRefreshableVersion="3" recordCount="10" xr:uid="{0FB9F459-EADD-4913-AF99-6F637F35BF5B}">
  <cacheSource type="worksheet">
    <worksheetSource ref="A1:C11" sheet="Sheet2"/>
  </cacheSource>
  <cacheFields count="3">
    <cacheField name="REGION" numFmtId="0">
      <sharedItems count="4">
        <s v="NORTH"/>
        <s v="SOUTH"/>
        <s v="WEST"/>
        <s v="EAST"/>
      </sharedItems>
    </cacheField>
    <cacheField name="PRODUCT" numFmtId="0">
      <sharedItems count="6">
        <s v="LEPTOP"/>
        <s v="MOBILE"/>
        <s v="T.V."/>
        <s v="CEMERA"/>
        <s v="TABLET"/>
        <s v="COMPUTER"/>
      </sharedItems>
    </cacheField>
    <cacheField name="SALES" numFmtId="0">
      <sharedItems containsSemiMixedTypes="0" containsString="0" containsNumber="1" containsInteger="1" minValue="453" maxValue="9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239.473408217593" createdVersion="8" refreshedVersion="8" minRefreshableVersion="3" recordCount="30" xr:uid="{0CB363F2-541E-47A5-A046-DBE1F25F0D72}">
  <cacheSource type="worksheet">
    <worksheetSource ref="A1:K31" sheet="Sheet1"/>
  </cacheSource>
  <cacheFields count="11">
    <cacheField name="Name" numFmtId="0">
      <sharedItems/>
    </cacheField>
    <cacheField name="Age" numFmtId="0">
      <sharedItems containsSemiMixedTypes="0" containsString="0" containsNumber="1" containsInteger="1" minValue="26" maxValue="42"/>
    </cacheField>
    <cacheField name="Department" numFmtId="0">
      <sharedItems count="6">
        <s v="Sales"/>
        <s v="HR"/>
        <s v="Finance"/>
        <s v="Marketing"/>
        <s v="IT"/>
        <s v="Operations"/>
      </sharedItems>
    </cacheField>
    <cacheField name="Salary " numFmtId="3">
      <sharedItems containsSemiMixedTypes="0" containsString="0" containsNumber="1" containsInteger="1" minValue="52000" maxValue="98000"/>
    </cacheField>
    <cacheField name="Experience (Years)" numFmtId="0">
      <sharedItems containsSemiMixedTypes="0" containsString="0" containsNumber="1" containsInteger="1" minValue="2" maxValue="18"/>
    </cacheField>
    <cacheField name="Sales " numFmtId="0">
      <sharedItems containsSemiMixedTypes="0" containsString="0" containsNumber="1" containsInteger="1" minValue="200" maxValue="1112"/>
    </cacheField>
    <cacheField name="COUNT" numFmtId="0">
      <sharedItems containsString="0" containsBlank="1" containsNumber="1" containsInteger="1" minValue="30" maxValue="30"/>
    </cacheField>
    <cacheField name="COUNTIF" numFmtId="0">
      <sharedItems containsString="0" containsBlank="1" containsNumber="1" containsInteger="1" minValue="5" maxValue="5"/>
    </cacheField>
    <cacheField name="SUMIF" numFmtId="0">
      <sharedItems containsString="0" containsBlank="1" containsNumber="1" containsInteger="1" minValue="258000" maxValue="258000"/>
    </cacheField>
    <cacheField name="IF" numFmtId="0">
      <sharedItems/>
    </cacheField>
    <cacheField name="COUNTIF2" numFmtId="0">
      <sharedItems containsString="0" containsBlank="1" containsNumber="1" containsInteger="1" minValue="16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John Smith"/>
    <n v="28"/>
    <x v="0"/>
    <n v="55000"/>
    <n v="3"/>
    <n v="200"/>
    <n v="30"/>
    <n v="5"/>
    <n v="258000"/>
    <s v="POOR"/>
    <n v="16"/>
  </r>
  <r>
    <s v="Emma Johnson"/>
    <n v="35"/>
    <x v="1"/>
    <n v="72000"/>
    <n v="10"/>
    <n v="500"/>
    <m/>
    <m/>
    <m/>
    <s v="AVERAGE"/>
    <m/>
  </r>
  <r>
    <s v="Liam Brown"/>
    <n v="30"/>
    <x v="2"/>
    <n v="65000"/>
    <n v="6"/>
    <n v="300"/>
    <m/>
    <m/>
    <m/>
    <s v="AVERAGE"/>
    <m/>
  </r>
  <r>
    <s v="Olivia Davis"/>
    <n v="27"/>
    <x v="3"/>
    <n v="58000"/>
    <n v="4"/>
    <n v="400"/>
    <m/>
    <m/>
    <m/>
    <s v="AVERAGE"/>
    <m/>
  </r>
  <r>
    <s v="Noah Wilson"/>
    <n v="39"/>
    <x v="0"/>
    <n v="88000"/>
    <n v="14"/>
    <n v="250"/>
    <m/>
    <m/>
    <m/>
    <s v="AVERAGE"/>
    <m/>
  </r>
  <r>
    <s v="Ava Miller"/>
    <n v="29"/>
    <x v="4"/>
    <n v="70000"/>
    <n v="5"/>
    <n v="424"/>
    <m/>
    <m/>
    <m/>
    <s v="AVERAGE"/>
    <m/>
  </r>
  <r>
    <s v="William Moore"/>
    <n v="42"/>
    <x v="5"/>
    <n v="92000"/>
    <n v="18"/>
    <n v="653"/>
    <m/>
    <m/>
    <m/>
    <s v="GOOD"/>
    <m/>
  </r>
  <r>
    <s v="Sophia Taylor"/>
    <n v="31"/>
    <x v="0"/>
    <n v="68000"/>
    <n v="7"/>
    <n v="1111"/>
    <m/>
    <m/>
    <m/>
    <s v="DISTINCTION"/>
    <m/>
  </r>
  <r>
    <s v="James Anderson"/>
    <n v="34"/>
    <x v="4"/>
    <n v="80000"/>
    <n v="9"/>
    <n v="569"/>
    <m/>
    <m/>
    <m/>
    <s v="GOOD"/>
    <m/>
  </r>
  <r>
    <s v="Isabella Thomas"/>
    <n v="26"/>
    <x v="1"/>
    <n v="52000"/>
    <n v="2"/>
    <n v="899"/>
    <m/>
    <m/>
    <m/>
    <s v="DISTINCTION"/>
    <m/>
  </r>
  <r>
    <s v="Benjamin Jackson"/>
    <n v="33"/>
    <x v="0"/>
    <n v="75000"/>
    <n v="8"/>
    <n v="700"/>
    <m/>
    <m/>
    <m/>
    <s v="GOOD"/>
    <m/>
  </r>
  <r>
    <s v="Mia White"/>
    <n v="28"/>
    <x v="3"/>
    <n v="60000"/>
    <n v="4"/>
    <n v="500"/>
    <m/>
    <m/>
    <m/>
    <s v="AVERAGE"/>
    <m/>
  </r>
  <r>
    <s v="Lucas Harris"/>
    <n v="32"/>
    <x v="2"/>
    <n v="69000"/>
    <n v="7"/>
    <n v="580"/>
    <m/>
    <m/>
    <m/>
    <s v="GOOD"/>
    <m/>
  </r>
  <r>
    <s v="Charlotte Martin"/>
    <n v="37"/>
    <x v="0"/>
    <n v="85000"/>
    <n v="12"/>
    <n v="795"/>
    <m/>
    <m/>
    <m/>
    <s v="GOOD"/>
    <m/>
  </r>
  <r>
    <s v="Henry Thompson"/>
    <n v="30"/>
    <x v="5"/>
    <n v="63000"/>
    <n v="6"/>
    <n v="845"/>
    <m/>
    <m/>
    <m/>
    <s v="DISTINCTION"/>
    <m/>
  </r>
  <r>
    <s v="Amelia Garcia"/>
    <n v="27"/>
    <x v="4"/>
    <n v="66000"/>
    <n v="4"/>
    <n v="694"/>
    <m/>
    <m/>
    <m/>
    <s v="GOOD"/>
    <m/>
  </r>
  <r>
    <s v="Alexander Martinez"/>
    <n v="36"/>
    <x v="0"/>
    <n v="90000"/>
    <n v="11"/>
    <n v="500"/>
    <m/>
    <m/>
    <m/>
    <s v="AVERAGE"/>
    <m/>
  </r>
  <r>
    <s v="Harper Robinson"/>
    <n v="29"/>
    <x v="1"/>
    <n v="57000"/>
    <n v="5"/>
    <n v="789"/>
    <m/>
    <m/>
    <m/>
    <s v="GOOD"/>
    <m/>
  </r>
  <r>
    <s v="Daniel Clark"/>
    <n v="38"/>
    <x v="2"/>
    <n v="82000"/>
    <n v="13"/>
    <n v="589"/>
    <m/>
    <m/>
    <m/>
    <s v="GOOD"/>
    <m/>
  </r>
  <r>
    <s v="Evelyn Rodriguez"/>
    <n v="31"/>
    <x v="3"/>
    <n v="67000"/>
    <n v="7"/>
    <n v="876"/>
    <m/>
    <m/>
    <m/>
    <s v="DISTINCTION"/>
    <m/>
  </r>
  <r>
    <s v="Michael Lewis"/>
    <n v="35"/>
    <x v="4"/>
    <n v="78000"/>
    <n v="10"/>
    <n v="458"/>
    <m/>
    <m/>
    <m/>
    <s v="AVERAGE"/>
    <m/>
  </r>
  <r>
    <s v="Abigail Lee"/>
    <n v="28"/>
    <x v="5"/>
    <n v="61000"/>
    <n v="4"/>
    <n v="999"/>
    <m/>
    <m/>
    <m/>
    <s v="DISTINCTION"/>
    <m/>
  </r>
  <r>
    <s v="Ethan Walker"/>
    <n v="33"/>
    <x v="0"/>
    <n v="79000"/>
    <n v="8"/>
    <n v="599"/>
    <m/>
    <m/>
    <m/>
    <s v="GOOD"/>
    <m/>
  </r>
  <r>
    <s v="Emily Hall"/>
    <n v="30"/>
    <x v="2"/>
    <n v="64000"/>
    <n v="6"/>
    <n v="865"/>
    <m/>
    <m/>
    <m/>
    <s v="DISTINCTION"/>
    <m/>
  </r>
  <r>
    <s v="Matthew Allen"/>
    <n v="36"/>
    <x v="4"/>
    <n v="89000"/>
    <n v="11"/>
    <n v="789"/>
    <m/>
    <m/>
    <m/>
    <s v="GOOD"/>
    <m/>
  </r>
  <r>
    <s v="Ella Young"/>
    <n v="32"/>
    <x v="3"/>
    <n v="73000"/>
    <n v="8"/>
    <n v="945"/>
    <m/>
    <m/>
    <m/>
    <s v="DISTINCTION"/>
    <m/>
  </r>
  <r>
    <s v="David King"/>
    <n v="29"/>
    <x v="0"/>
    <n v="71000"/>
    <n v="5"/>
    <n v="822"/>
    <m/>
    <m/>
    <m/>
    <s v="DISTINCTION"/>
    <m/>
  </r>
  <r>
    <s v="Scarlett Wright"/>
    <n v="31"/>
    <x v="1"/>
    <n v="62000"/>
    <n v="7"/>
    <n v="788"/>
    <m/>
    <m/>
    <m/>
    <s v="GOOD"/>
    <m/>
  </r>
  <r>
    <s v="Joseph Scott"/>
    <n v="37"/>
    <x v="0"/>
    <n v="95000"/>
    <n v="13"/>
    <n v="988"/>
    <m/>
    <m/>
    <m/>
    <s v="DISTINCTION"/>
    <m/>
  </r>
  <r>
    <s v="Grace Green"/>
    <n v="40"/>
    <x v="2"/>
    <n v="98000"/>
    <n v="16"/>
    <n v="1112"/>
    <m/>
    <m/>
    <m/>
    <s v="DISTINCTION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6B5F6-9BD9-4C56-9ECD-0F6BF69D5517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U9" firstHeaderRow="1" firstDataRow="1" firstDataCol="1"/>
  <pivotFields count="11">
    <pivotField showAll="0"/>
    <pivotField showAll="0"/>
    <pivotField axis="axisRow" showAll="0">
      <items count="7">
        <item x="2"/>
        <item x="1"/>
        <item x="4"/>
        <item x="3"/>
        <item x="5"/>
        <item x="0"/>
        <item t="default"/>
      </items>
    </pivotField>
    <pivotField dataField="1" numFmtId="3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ary " fld="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F5290-12DF-483D-A7C5-13E29B83C940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P10" firstHeaderRow="1" firstDataRow="2" firstDataCol="1"/>
  <pivotFields count="3"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7">
        <item x="3"/>
        <item x="5"/>
        <item x="0"/>
        <item x="1"/>
        <item x="2"/>
        <item x="4"/>
        <item t="default"/>
      </items>
    </pivotField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baseField="0" baseItem="0"/>
  </dataFields>
  <formats count="1">
    <format dxfId="0">
      <pivotArea dataOnly="0" labelOnly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27FA5-8519-4677-93E2-1E2175F3D5EA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9" firstHeaderRow="1" firstDataRow="1" firstDataCol="1"/>
  <pivotFields count="3">
    <pivotField showAll="0"/>
    <pivotField axis="axisRow" showAll="0">
      <items count="7">
        <item x="3"/>
        <item x="5"/>
        <item x="0"/>
        <item x="1"/>
        <item x="2"/>
        <item x="4"/>
        <item t="default"/>
      </items>
    </pivotField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DF909-BCA7-48D7-B7A5-A361A430A81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7" firstHeaderRow="1" firstDataRow="1" firstDataCol="1"/>
  <pivotFields count="3"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>
      <selection activeCell="V23" sqref="V23"/>
    </sheetView>
  </sheetViews>
  <sheetFormatPr defaultRowHeight="15" x14ac:dyDescent="0.25"/>
  <cols>
    <col min="1" max="1" width="25.140625" customWidth="1"/>
    <col min="2" max="2" width="9.42578125" customWidth="1"/>
    <col min="3" max="3" width="12.7109375" customWidth="1"/>
    <col min="4" max="4" width="11.85546875" bestFit="1" customWidth="1"/>
    <col min="5" max="5" width="17.85546875" bestFit="1" customWidth="1"/>
    <col min="6" max="6" width="11.140625" bestFit="1" customWidth="1"/>
    <col min="10" max="10" width="12.42578125" bestFit="1" customWidth="1"/>
    <col min="20" max="20" width="13.140625" bestFit="1" customWidth="1"/>
    <col min="21" max="21" width="13.425781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44</v>
      </c>
      <c r="E1" s="3" t="s">
        <v>3</v>
      </c>
      <c r="F1" s="3" t="s">
        <v>45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41</v>
      </c>
    </row>
    <row r="2" spans="1:21" x14ac:dyDescent="0.25">
      <c r="A2" s="1" t="s">
        <v>4</v>
      </c>
      <c r="B2" s="4">
        <v>28</v>
      </c>
      <c r="C2" s="4" t="s">
        <v>5</v>
      </c>
      <c r="D2" s="5">
        <v>55000</v>
      </c>
      <c r="E2" s="4">
        <v>3</v>
      </c>
      <c r="F2" s="5">
        <v>200</v>
      </c>
      <c r="G2" s="6">
        <f>COUNTA(A2:A31)</f>
        <v>30</v>
      </c>
      <c r="H2" s="6">
        <f>COUNTIF(C2:C31,"Finance")</f>
        <v>5</v>
      </c>
      <c r="I2" s="6">
        <f>SUMIF(C2:C31,"Marketing",D2:D31 )</f>
        <v>258000</v>
      </c>
      <c r="J2" s="6" t="str">
        <f>IF(F2&lt;= 200,"POOR",IF(F2&lt;=500,"AVERAGE",IF(F2 &lt;=800,"GOOD","DISTINCTION")))</f>
        <v>POOR</v>
      </c>
      <c r="K2" s="6">
        <f>COUNTIF(E2:E31,"&lt; 8")</f>
        <v>16</v>
      </c>
      <c r="T2" s="8" t="s">
        <v>59</v>
      </c>
      <c r="U2" t="s">
        <v>63</v>
      </c>
    </row>
    <row r="3" spans="1:21" x14ac:dyDescent="0.25">
      <c r="A3" s="1" t="s">
        <v>6</v>
      </c>
      <c r="B3" s="4">
        <v>35</v>
      </c>
      <c r="C3" s="4" t="s">
        <v>7</v>
      </c>
      <c r="D3" s="5">
        <v>72000</v>
      </c>
      <c r="E3" s="4">
        <v>10</v>
      </c>
      <c r="F3" s="4">
        <v>500</v>
      </c>
      <c r="G3" s="6"/>
      <c r="H3" s="6"/>
      <c r="I3" s="6"/>
      <c r="J3" s="6" t="str">
        <f t="shared" ref="J3:J31" si="0">IF(F3&lt;= 200,"POOR",IF(F3&lt;=500,"AVERAGE",IF(F3 &lt;=800,"GOOD","DISTINCTION")))</f>
        <v>AVERAGE</v>
      </c>
      <c r="K3" s="6"/>
      <c r="T3" s="9" t="s">
        <v>9</v>
      </c>
      <c r="U3" s="12">
        <v>378000</v>
      </c>
    </row>
    <row r="4" spans="1:21" x14ac:dyDescent="0.25">
      <c r="A4" s="1" t="s">
        <v>8</v>
      </c>
      <c r="B4" s="4">
        <v>30</v>
      </c>
      <c r="C4" s="4" t="s">
        <v>9</v>
      </c>
      <c r="D4" s="5">
        <v>65000</v>
      </c>
      <c r="E4" s="4">
        <v>6</v>
      </c>
      <c r="F4" s="4">
        <v>300</v>
      </c>
      <c r="G4" s="6"/>
      <c r="H4" s="6"/>
      <c r="I4" s="6"/>
      <c r="J4" s="6" t="str">
        <f t="shared" si="0"/>
        <v>AVERAGE</v>
      </c>
      <c r="K4" s="6"/>
      <c r="T4" s="9" t="s">
        <v>7</v>
      </c>
      <c r="U4" s="12">
        <v>243000</v>
      </c>
    </row>
    <row r="5" spans="1:21" x14ac:dyDescent="0.25">
      <c r="A5" s="1" t="s">
        <v>10</v>
      </c>
      <c r="B5" s="4">
        <v>27</v>
      </c>
      <c r="C5" s="4" t="s">
        <v>11</v>
      </c>
      <c r="D5" s="5">
        <v>58000</v>
      </c>
      <c r="E5" s="4">
        <v>4</v>
      </c>
      <c r="F5" s="5">
        <v>400</v>
      </c>
      <c r="G5" s="6"/>
      <c r="H5" s="6"/>
      <c r="I5" s="6"/>
      <c r="J5" s="6" t="str">
        <f t="shared" si="0"/>
        <v>AVERAGE</v>
      </c>
      <c r="K5" s="6"/>
      <c r="T5" s="9" t="s">
        <v>14</v>
      </c>
      <c r="U5" s="12">
        <v>383000</v>
      </c>
    </row>
    <row r="6" spans="1:21" x14ac:dyDescent="0.25">
      <c r="A6" s="1" t="s">
        <v>12</v>
      </c>
      <c r="B6" s="4">
        <v>39</v>
      </c>
      <c r="C6" s="4" t="s">
        <v>5</v>
      </c>
      <c r="D6" s="5">
        <v>88000</v>
      </c>
      <c r="E6" s="4">
        <v>14</v>
      </c>
      <c r="F6" s="5">
        <v>250</v>
      </c>
      <c r="G6" s="6"/>
      <c r="H6" s="6"/>
      <c r="I6" s="6"/>
      <c r="J6" s="6" t="str">
        <f t="shared" si="0"/>
        <v>AVERAGE</v>
      </c>
      <c r="K6" s="6"/>
      <c r="T6" s="9" t="s">
        <v>11</v>
      </c>
      <c r="U6" s="12">
        <v>258000</v>
      </c>
    </row>
    <row r="7" spans="1:21" x14ac:dyDescent="0.25">
      <c r="A7" s="1" t="s">
        <v>13</v>
      </c>
      <c r="B7" s="4">
        <v>29</v>
      </c>
      <c r="C7" s="4" t="s">
        <v>14</v>
      </c>
      <c r="D7" s="5">
        <v>70000</v>
      </c>
      <c r="E7" s="4">
        <v>5</v>
      </c>
      <c r="F7" s="4">
        <v>424</v>
      </c>
      <c r="G7" s="6"/>
      <c r="H7" s="6"/>
      <c r="I7" s="6"/>
      <c r="J7" s="6" t="str">
        <f t="shared" si="0"/>
        <v>AVERAGE</v>
      </c>
      <c r="K7" s="6"/>
      <c r="T7" s="9" t="s">
        <v>16</v>
      </c>
      <c r="U7" s="12">
        <v>216000</v>
      </c>
    </row>
    <row r="8" spans="1:21" x14ac:dyDescent="0.25">
      <c r="A8" s="1" t="s">
        <v>15</v>
      </c>
      <c r="B8" s="4">
        <v>42</v>
      </c>
      <c r="C8" s="4" t="s">
        <v>16</v>
      </c>
      <c r="D8" s="5">
        <v>92000</v>
      </c>
      <c r="E8" s="4">
        <v>18</v>
      </c>
      <c r="F8" s="4">
        <v>653</v>
      </c>
      <c r="G8" s="6"/>
      <c r="H8" s="6"/>
      <c r="I8" s="6"/>
      <c r="J8" s="6" t="str">
        <f t="shared" si="0"/>
        <v>GOOD</v>
      </c>
      <c r="K8" s="6"/>
      <c r="T8" s="9" t="s">
        <v>5</v>
      </c>
      <c r="U8" s="12">
        <v>706000</v>
      </c>
    </row>
    <row r="9" spans="1:21" x14ac:dyDescent="0.25">
      <c r="A9" s="1" t="s">
        <v>17</v>
      </c>
      <c r="B9" s="4">
        <v>31</v>
      </c>
      <c r="C9" s="4" t="s">
        <v>5</v>
      </c>
      <c r="D9" s="5">
        <v>68000</v>
      </c>
      <c r="E9" s="4">
        <v>7</v>
      </c>
      <c r="F9" s="5">
        <v>1111</v>
      </c>
      <c r="G9" s="6"/>
      <c r="H9" s="6"/>
      <c r="I9" s="6"/>
      <c r="J9" s="6" t="str">
        <f t="shared" si="0"/>
        <v>DISTINCTION</v>
      </c>
      <c r="K9" s="6"/>
      <c r="T9" s="9" t="s">
        <v>60</v>
      </c>
      <c r="U9" s="12">
        <v>2184000</v>
      </c>
    </row>
    <row r="10" spans="1:21" ht="17.25" customHeight="1" x14ac:dyDescent="0.25">
      <c r="A10" s="1" t="s">
        <v>18</v>
      </c>
      <c r="B10" s="4">
        <v>34</v>
      </c>
      <c r="C10" s="4" t="s">
        <v>14</v>
      </c>
      <c r="D10" s="5">
        <v>80000</v>
      </c>
      <c r="E10" s="4">
        <v>9</v>
      </c>
      <c r="F10" s="4">
        <v>569</v>
      </c>
      <c r="G10" s="6"/>
      <c r="H10" s="6"/>
      <c r="I10" s="6"/>
      <c r="J10" s="6" t="str">
        <f t="shared" si="0"/>
        <v>GOOD</v>
      </c>
      <c r="K10" s="6"/>
    </row>
    <row r="11" spans="1:21" ht="17.25" customHeight="1" x14ac:dyDescent="0.25">
      <c r="A11" s="1" t="s">
        <v>19</v>
      </c>
      <c r="B11" s="4">
        <v>26</v>
      </c>
      <c r="C11" s="4" t="s">
        <v>7</v>
      </c>
      <c r="D11" s="5">
        <v>52000</v>
      </c>
      <c r="E11" s="4">
        <v>2</v>
      </c>
      <c r="F11" s="4">
        <v>899</v>
      </c>
      <c r="G11" s="6"/>
      <c r="H11" s="6"/>
      <c r="I11" s="6"/>
      <c r="J11" s="6" t="str">
        <f t="shared" si="0"/>
        <v>DISTINCTION</v>
      </c>
      <c r="K11" s="6"/>
    </row>
    <row r="12" spans="1:21" ht="18" customHeight="1" x14ac:dyDescent="0.25">
      <c r="A12" s="1" t="s">
        <v>20</v>
      </c>
      <c r="B12" s="4">
        <v>33</v>
      </c>
      <c r="C12" s="4" t="s">
        <v>5</v>
      </c>
      <c r="D12" s="5">
        <v>75000</v>
      </c>
      <c r="E12" s="4">
        <v>8</v>
      </c>
      <c r="F12" s="5">
        <v>700</v>
      </c>
      <c r="G12" s="6"/>
      <c r="H12" s="6"/>
      <c r="I12" s="6"/>
      <c r="J12" s="6" t="str">
        <f t="shared" si="0"/>
        <v>GOOD</v>
      </c>
      <c r="K12" s="6"/>
    </row>
    <row r="13" spans="1:21" x14ac:dyDescent="0.25">
      <c r="A13" s="1" t="s">
        <v>21</v>
      </c>
      <c r="B13" s="4">
        <v>28</v>
      </c>
      <c r="C13" s="4" t="s">
        <v>11</v>
      </c>
      <c r="D13" s="5">
        <v>60000</v>
      </c>
      <c r="E13" s="4">
        <v>4</v>
      </c>
      <c r="F13" s="5">
        <v>500</v>
      </c>
      <c r="G13" s="6"/>
      <c r="H13" s="6"/>
      <c r="I13" s="6"/>
      <c r="J13" s="6" t="str">
        <f t="shared" si="0"/>
        <v>AVERAGE</v>
      </c>
      <c r="K13" s="6"/>
    </row>
    <row r="14" spans="1:21" x14ac:dyDescent="0.25">
      <c r="A14" s="1" t="s">
        <v>22</v>
      </c>
      <c r="B14" s="4">
        <v>32</v>
      </c>
      <c r="C14" s="4" t="s">
        <v>9</v>
      </c>
      <c r="D14" s="5">
        <v>69000</v>
      </c>
      <c r="E14" s="4">
        <v>7</v>
      </c>
      <c r="F14" s="4">
        <v>580</v>
      </c>
      <c r="G14" s="6"/>
      <c r="H14" s="6"/>
      <c r="I14" s="6"/>
      <c r="J14" s="6" t="str">
        <f t="shared" si="0"/>
        <v>GOOD</v>
      </c>
      <c r="K14" s="6"/>
    </row>
    <row r="15" spans="1:21" ht="18" customHeight="1" x14ac:dyDescent="0.25">
      <c r="A15" s="1" t="s">
        <v>23</v>
      </c>
      <c r="B15" s="4">
        <v>37</v>
      </c>
      <c r="C15" s="4" t="s">
        <v>5</v>
      </c>
      <c r="D15" s="5">
        <v>85000</v>
      </c>
      <c r="E15" s="4">
        <v>12</v>
      </c>
      <c r="F15" s="5">
        <v>795</v>
      </c>
      <c r="G15" s="6"/>
      <c r="H15" s="6"/>
      <c r="I15" s="6"/>
      <c r="J15" s="6" t="str">
        <f t="shared" si="0"/>
        <v>GOOD</v>
      </c>
      <c r="K15" s="6"/>
    </row>
    <row r="16" spans="1:21" ht="18" customHeight="1" x14ac:dyDescent="0.25">
      <c r="A16" s="1" t="s">
        <v>24</v>
      </c>
      <c r="B16" s="4">
        <v>30</v>
      </c>
      <c r="C16" s="4" t="s">
        <v>16</v>
      </c>
      <c r="D16" s="5">
        <v>63000</v>
      </c>
      <c r="E16" s="4">
        <v>6</v>
      </c>
      <c r="F16" s="4">
        <v>845</v>
      </c>
      <c r="G16" s="6"/>
      <c r="H16" s="6"/>
      <c r="I16" s="6"/>
      <c r="J16" s="6" t="str">
        <f t="shared" si="0"/>
        <v>DISTINCTION</v>
      </c>
      <c r="K16" s="6"/>
    </row>
    <row r="17" spans="1:11" x14ac:dyDescent="0.25">
      <c r="A17" s="1" t="s">
        <v>25</v>
      </c>
      <c r="B17" s="4">
        <v>27</v>
      </c>
      <c r="C17" s="4" t="s">
        <v>14</v>
      </c>
      <c r="D17" s="5">
        <v>66000</v>
      </c>
      <c r="E17" s="4">
        <v>4</v>
      </c>
      <c r="F17" s="4">
        <v>694</v>
      </c>
      <c r="G17" s="6"/>
      <c r="H17" s="6"/>
      <c r="I17" s="6"/>
      <c r="J17" s="6" t="str">
        <f t="shared" si="0"/>
        <v>GOOD</v>
      </c>
      <c r="K17" s="6"/>
    </row>
    <row r="18" spans="1:11" ht="17.25" customHeight="1" x14ac:dyDescent="0.25">
      <c r="A18" s="1" t="s">
        <v>26</v>
      </c>
      <c r="B18" s="4">
        <v>36</v>
      </c>
      <c r="C18" s="4" t="s">
        <v>5</v>
      </c>
      <c r="D18" s="5">
        <v>90000</v>
      </c>
      <c r="E18" s="4">
        <v>11</v>
      </c>
      <c r="F18" s="5">
        <v>500</v>
      </c>
      <c r="G18" s="6"/>
      <c r="H18" s="6"/>
      <c r="I18" s="6"/>
      <c r="J18" s="6" t="str">
        <f t="shared" si="0"/>
        <v>AVERAGE</v>
      </c>
      <c r="K18" s="6"/>
    </row>
    <row r="19" spans="1:11" ht="17.25" customHeight="1" x14ac:dyDescent="0.25">
      <c r="A19" s="1" t="s">
        <v>27</v>
      </c>
      <c r="B19" s="4">
        <v>29</v>
      </c>
      <c r="C19" s="4" t="s">
        <v>7</v>
      </c>
      <c r="D19" s="5">
        <v>57000</v>
      </c>
      <c r="E19" s="4">
        <v>5</v>
      </c>
      <c r="F19" s="4">
        <v>789</v>
      </c>
      <c r="G19" s="6"/>
      <c r="H19" s="6"/>
      <c r="I19" s="6"/>
      <c r="J19" s="6" t="str">
        <f t="shared" si="0"/>
        <v>GOOD</v>
      </c>
      <c r="K19" s="6"/>
    </row>
    <row r="20" spans="1:11" x14ac:dyDescent="0.25">
      <c r="A20" s="1" t="s">
        <v>28</v>
      </c>
      <c r="B20" s="4">
        <v>38</v>
      </c>
      <c r="C20" s="4" t="s">
        <v>9</v>
      </c>
      <c r="D20" s="5">
        <v>82000</v>
      </c>
      <c r="E20" s="4">
        <v>13</v>
      </c>
      <c r="F20" s="4">
        <v>589</v>
      </c>
      <c r="G20" s="6"/>
      <c r="H20" s="6"/>
      <c r="I20" s="6"/>
      <c r="J20" s="6" t="str">
        <f t="shared" si="0"/>
        <v>GOOD</v>
      </c>
      <c r="K20" s="6"/>
    </row>
    <row r="21" spans="1:11" ht="18" customHeight="1" x14ac:dyDescent="0.25">
      <c r="A21" s="1" t="s">
        <v>29</v>
      </c>
      <c r="B21" s="4">
        <v>31</v>
      </c>
      <c r="C21" s="4" t="s">
        <v>11</v>
      </c>
      <c r="D21" s="5">
        <v>67000</v>
      </c>
      <c r="E21" s="4">
        <v>7</v>
      </c>
      <c r="F21" s="5">
        <v>876</v>
      </c>
      <c r="G21" s="6"/>
      <c r="H21" s="6"/>
      <c r="I21" s="6"/>
      <c r="J21" s="6" t="str">
        <f t="shared" si="0"/>
        <v>DISTINCTION</v>
      </c>
      <c r="K21" s="6"/>
    </row>
    <row r="22" spans="1:11" x14ac:dyDescent="0.25">
      <c r="A22" s="1" t="s">
        <v>30</v>
      </c>
      <c r="B22" s="4">
        <v>35</v>
      </c>
      <c r="C22" s="4" t="s">
        <v>14</v>
      </c>
      <c r="D22" s="5">
        <v>78000</v>
      </c>
      <c r="E22" s="4">
        <v>10</v>
      </c>
      <c r="F22" s="4">
        <v>458</v>
      </c>
      <c r="G22" s="6"/>
      <c r="H22" s="6"/>
      <c r="I22" s="6"/>
      <c r="J22" s="6" t="str">
        <f t="shared" si="0"/>
        <v>AVERAGE</v>
      </c>
      <c r="K22" s="6"/>
    </row>
    <row r="23" spans="1:11" x14ac:dyDescent="0.25">
      <c r="A23" s="1" t="s">
        <v>31</v>
      </c>
      <c r="B23" s="4">
        <v>28</v>
      </c>
      <c r="C23" s="4" t="s">
        <v>16</v>
      </c>
      <c r="D23" s="5">
        <v>61000</v>
      </c>
      <c r="E23" s="4">
        <v>4</v>
      </c>
      <c r="F23" s="4">
        <v>999</v>
      </c>
      <c r="G23" s="6"/>
      <c r="H23" s="6"/>
      <c r="I23" s="6"/>
      <c r="J23" s="6" t="str">
        <f t="shared" si="0"/>
        <v>DISTINCTION</v>
      </c>
      <c r="K23" s="6"/>
    </row>
    <row r="24" spans="1:11" x14ac:dyDescent="0.25">
      <c r="A24" s="1" t="s">
        <v>32</v>
      </c>
      <c r="B24" s="4">
        <v>33</v>
      </c>
      <c r="C24" s="4" t="s">
        <v>5</v>
      </c>
      <c r="D24" s="5">
        <v>79000</v>
      </c>
      <c r="E24" s="4">
        <v>8</v>
      </c>
      <c r="F24" s="5">
        <v>599</v>
      </c>
      <c r="G24" s="6"/>
      <c r="H24" s="6"/>
      <c r="I24" s="6"/>
      <c r="J24" s="6" t="str">
        <f t="shared" si="0"/>
        <v>GOOD</v>
      </c>
      <c r="K24" s="6"/>
    </row>
    <row r="25" spans="1:11" x14ac:dyDescent="0.25">
      <c r="A25" s="1" t="s">
        <v>33</v>
      </c>
      <c r="B25" s="4">
        <v>30</v>
      </c>
      <c r="C25" s="4" t="s">
        <v>9</v>
      </c>
      <c r="D25" s="5">
        <v>64000</v>
      </c>
      <c r="E25" s="4">
        <v>6</v>
      </c>
      <c r="F25" s="4">
        <v>865</v>
      </c>
      <c r="G25" s="6"/>
      <c r="H25" s="6"/>
      <c r="I25" s="6"/>
      <c r="J25" s="6" t="str">
        <f t="shared" si="0"/>
        <v>DISTINCTION</v>
      </c>
      <c r="K25" s="6"/>
    </row>
    <row r="26" spans="1:11" x14ac:dyDescent="0.25">
      <c r="A26" s="1" t="s">
        <v>34</v>
      </c>
      <c r="B26" s="4">
        <v>36</v>
      </c>
      <c r="C26" s="4" t="s">
        <v>14</v>
      </c>
      <c r="D26" s="5">
        <v>89000</v>
      </c>
      <c r="E26" s="4">
        <v>11</v>
      </c>
      <c r="F26" s="4">
        <v>789</v>
      </c>
      <c r="G26" s="6"/>
      <c r="H26" s="6"/>
      <c r="I26" s="6"/>
      <c r="J26" s="6" t="str">
        <f t="shared" si="0"/>
        <v>GOOD</v>
      </c>
      <c r="K26" s="6"/>
    </row>
    <row r="27" spans="1:11" x14ac:dyDescent="0.25">
      <c r="A27" s="1" t="s">
        <v>35</v>
      </c>
      <c r="B27" s="4">
        <v>32</v>
      </c>
      <c r="C27" s="4" t="s">
        <v>11</v>
      </c>
      <c r="D27" s="5">
        <v>73000</v>
      </c>
      <c r="E27" s="4">
        <v>8</v>
      </c>
      <c r="F27" s="5">
        <v>945</v>
      </c>
      <c r="G27" s="6"/>
      <c r="H27" s="6"/>
      <c r="I27" s="6"/>
      <c r="J27" s="6" t="str">
        <f t="shared" si="0"/>
        <v>DISTINCTION</v>
      </c>
      <c r="K27" s="6"/>
    </row>
    <row r="28" spans="1:11" x14ac:dyDescent="0.25">
      <c r="A28" s="1" t="s">
        <v>36</v>
      </c>
      <c r="B28" s="4">
        <v>29</v>
      </c>
      <c r="C28" s="4" t="s">
        <v>5</v>
      </c>
      <c r="D28" s="5">
        <v>71000</v>
      </c>
      <c r="E28" s="4">
        <v>5</v>
      </c>
      <c r="F28" s="5">
        <v>822</v>
      </c>
      <c r="G28" s="6"/>
      <c r="H28" s="6"/>
      <c r="I28" s="6"/>
      <c r="J28" s="6" t="str">
        <f t="shared" si="0"/>
        <v>DISTINCTION</v>
      </c>
      <c r="K28" s="6"/>
    </row>
    <row r="29" spans="1:11" x14ac:dyDescent="0.25">
      <c r="A29" s="1" t="s">
        <v>37</v>
      </c>
      <c r="B29" s="4">
        <v>31</v>
      </c>
      <c r="C29" s="4" t="s">
        <v>7</v>
      </c>
      <c r="D29" s="5">
        <v>62000</v>
      </c>
      <c r="E29" s="4">
        <v>7</v>
      </c>
      <c r="F29" s="4">
        <v>788</v>
      </c>
      <c r="G29" s="6"/>
      <c r="H29" s="6"/>
      <c r="I29" s="6"/>
      <c r="J29" s="6" t="str">
        <f t="shared" si="0"/>
        <v>GOOD</v>
      </c>
      <c r="K29" s="6"/>
    </row>
    <row r="30" spans="1:11" x14ac:dyDescent="0.25">
      <c r="A30" s="1" t="s">
        <v>38</v>
      </c>
      <c r="B30" s="4">
        <v>37</v>
      </c>
      <c r="C30" s="4" t="s">
        <v>5</v>
      </c>
      <c r="D30" s="5">
        <v>95000</v>
      </c>
      <c r="E30" s="4">
        <v>13</v>
      </c>
      <c r="F30" s="5">
        <v>988</v>
      </c>
      <c r="G30" s="6"/>
      <c r="H30" s="6"/>
      <c r="I30" s="6"/>
      <c r="J30" s="6" t="str">
        <f t="shared" si="0"/>
        <v>DISTINCTION</v>
      </c>
      <c r="K30" s="6"/>
    </row>
    <row r="31" spans="1:11" x14ac:dyDescent="0.25">
      <c r="A31" s="1" t="s">
        <v>39</v>
      </c>
      <c r="B31" s="4">
        <v>40</v>
      </c>
      <c r="C31" s="4" t="s">
        <v>9</v>
      </c>
      <c r="D31" s="5">
        <v>98000</v>
      </c>
      <c r="E31" s="4">
        <v>16</v>
      </c>
      <c r="F31" s="4">
        <v>1112</v>
      </c>
      <c r="G31" s="6"/>
      <c r="H31" s="6"/>
      <c r="I31" s="6"/>
      <c r="J31" s="6" t="str">
        <f t="shared" si="0"/>
        <v>DISTINCTION</v>
      </c>
      <c r="K31" s="6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A9D7-023B-40AC-B8F5-AA69A6451BB3}">
  <dimension ref="A1:P11"/>
  <sheetViews>
    <sheetView tabSelected="1" workbookViewId="0">
      <selection activeCell="D29" sqref="D29"/>
    </sheetView>
  </sheetViews>
  <sheetFormatPr defaultRowHeight="15" x14ac:dyDescent="0.25"/>
  <cols>
    <col min="2" max="2" width="10.85546875" bestFit="1" customWidth="1"/>
    <col min="5" max="5" width="13.140625" bestFit="1" customWidth="1"/>
    <col min="6" max="6" width="12.7109375" bestFit="1" customWidth="1"/>
    <col min="8" max="8" width="13.140625" bestFit="1" customWidth="1"/>
    <col min="9" max="9" width="12.7109375" bestFit="1" customWidth="1"/>
    <col min="11" max="11" width="14" customWidth="1"/>
    <col min="12" max="12" width="18.28515625" customWidth="1"/>
    <col min="13" max="13" width="7.28515625" bestFit="1" customWidth="1"/>
    <col min="14" max="14" width="7.140625" bestFit="1" customWidth="1"/>
    <col min="15" max="15" width="6" bestFit="1" customWidth="1"/>
    <col min="16" max="16" width="11.28515625" bestFit="1" customWidth="1"/>
  </cols>
  <sheetData>
    <row r="1" spans="1:16" x14ac:dyDescent="0.25">
      <c r="A1" s="7" t="s">
        <v>46</v>
      </c>
      <c r="B1" s="7" t="s">
        <v>47</v>
      </c>
      <c r="C1" s="7" t="s">
        <v>48</v>
      </c>
    </row>
    <row r="2" spans="1:16" x14ac:dyDescent="0.25">
      <c r="A2" s="2" t="s">
        <v>49</v>
      </c>
      <c r="B2" s="2" t="s">
        <v>53</v>
      </c>
      <c r="C2" s="2">
        <v>800</v>
      </c>
      <c r="E2" s="8" t="s">
        <v>59</v>
      </c>
      <c r="F2" t="s">
        <v>61</v>
      </c>
      <c r="H2" s="8" t="s">
        <v>59</v>
      </c>
      <c r="I2" t="s">
        <v>61</v>
      </c>
      <c r="K2" s="8" t="s">
        <v>61</v>
      </c>
      <c r="L2" s="8" t="s">
        <v>62</v>
      </c>
    </row>
    <row r="3" spans="1:16" x14ac:dyDescent="0.25">
      <c r="A3" s="2" t="s">
        <v>50</v>
      </c>
      <c r="B3" s="2" t="s">
        <v>54</v>
      </c>
      <c r="C3" s="2">
        <v>750</v>
      </c>
      <c r="E3" s="9" t="s">
        <v>52</v>
      </c>
      <c r="F3" s="10">
        <v>1209</v>
      </c>
      <c r="H3" s="9" t="s">
        <v>56</v>
      </c>
      <c r="I3" s="10">
        <v>1053</v>
      </c>
      <c r="K3" s="8" t="s">
        <v>59</v>
      </c>
      <c r="L3" s="11" t="s">
        <v>52</v>
      </c>
      <c r="M3" t="s">
        <v>49</v>
      </c>
      <c r="N3" t="s">
        <v>50</v>
      </c>
      <c r="O3" t="s">
        <v>51</v>
      </c>
      <c r="P3" t="s">
        <v>60</v>
      </c>
    </row>
    <row r="4" spans="1:16" x14ac:dyDescent="0.25">
      <c r="A4" s="2" t="s">
        <v>51</v>
      </c>
      <c r="B4" s="2" t="s">
        <v>55</v>
      </c>
      <c r="C4" s="2">
        <v>896</v>
      </c>
      <c r="E4" s="9" t="s">
        <v>49</v>
      </c>
      <c r="F4" s="10">
        <v>2569</v>
      </c>
      <c r="H4" s="9" t="s">
        <v>58</v>
      </c>
      <c r="I4" s="10">
        <v>984</v>
      </c>
      <c r="K4" s="9" t="s">
        <v>56</v>
      </c>
      <c r="L4" s="10">
        <v>453</v>
      </c>
      <c r="M4" s="10"/>
      <c r="N4" s="10">
        <v>600</v>
      </c>
      <c r="O4" s="10"/>
      <c r="P4" s="10">
        <v>1053</v>
      </c>
    </row>
    <row r="5" spans="1:16" x14ac:dyDescent="0.25">
      <c r="A5" s="2" t="s">
        <v>52</v>
      </c>
      <c r="B5" s="2" t="s">
        <v>56</v>
      </c>
      <c r="C5" s="2">
        <v>453</v>
      </c>
      <c r="E5" s="9" t="s">
        <v>50</v>
      </c>
      <c r="F5" s="10">
        <v>2334</v>
      </c>
      <c r="H5" s="9" t="s">
        <v>53</v>
      </c>
      <c r="I5" s="10">
        <v>1784</v>
      </c>
      <c r="K5" s="9" t="s">
        <v>58</v>
      </c>
      <c r="L5" s="10"/>
      <c r="M5" s="10"/>
      <c r="N5" s="10">
        <v>984</v>
      </c>
      <c r="O5" s="10"/>
      <c r="P5" s="10">
        <v>984</v>
      </c>
    </row>
    <row r="6" spans="1:16" x14ac:dyDescent="0.25">
      <c r="A6" s="2" t="s">
        <v>49</v>
      </c>
      <c r="B6" s="2" t="s">
        <v>57</v>
      </c>
      <c r="C6" s="2">
        <v>785</v>
      </c>
      <c r="E6" s="9" t="s">
        <v>51</v>
      </c>
      <c r="F6" s="10">
        <v>1494</v>
      </c>
      <c r="H6" s="9" t="s">
        <v>54</v>
      </c>
      <c r="I6" s="10">
        <v>1348</v>
      </c>
      <c r="K6" s="9" t="s">
        <v>53</v>
      </c>
      <c r="L6" s="10"/>
      <c r="M6" s="10">
        <v>1784</v>
      </c>
      <c r="N6" s="10"/>
      <c r="O6" s="10"/>
      <c r="P6" s="10">
        <v>1784</v>
      </c>
    </row>
    <row r="7" spans="1:16" x14ac:dyDescent="0.25">
      <c r="A7" s="2" t="s">
        <v>50</v>
      </c>
      <c r="B7" s="2" t="s">
        <v>58</v>
      </c>
      <c r="C7" s="2">
        <v>984</v>
      </c>
      <c r="E7" s="9" t="s">
        <v>60</v>
      </c>
      <c r="F7" s="10">
        <v>7606</v>
      </c>
      <c r="H7" s="9" t="s">
        <v>55</v>
      </c>
      <c r="I7" s="10">
        <v>1652</v>
      </c>
      <c r="K7" s="9" t="s">
        <v>54</v>
      </c>
      <c r="L7" s="10"/>
      <c r="M7" s="10"/>
      <c r="N7" s="10">
        <v>750</v>
      </c>
      <c r="O7" s="10">
        <v>598</v>
      </c>
      <c r="P7" s="10">
        <v>1348</v>
      </c>
    </row>
    <row r="8" spans="1:16" x14ac:dyDescent="0.25">
      <c r="A8" s="2" t="s">
        <v>51</v>
      </c>
      <c r="B8" s="2" t="s">
        <v>54</v>
      </c>
      <c r="C8" s="2">
        <v>598</v>
      </c>
      <c r="H8" s="9" t="s">
        <v>57</v>
      </c>
      <c r="I8" s="10">
        <v>785</v>
      </c>
      <c r="K8" s="9" t="s">
        <v>55</v>
      </c>
      <c r="L8" s="10">
        <v>756</v>
      </c>
      <c r="M8" s="10"/>
      <c r="N8" s="10"/>
      <c r="O8" s="10">
        <v>896</v>
      </c>
      <c r="P8" s="10">
        <v>1652</v>
      </c>
    </row>
    <row r="9" spans="1:16" x14ac:dyDescent="0.25">
      <c r="A9" s="2" t="s">
        <v>52</v>
      </c>
      <c r="B9" s="2" t="s">
        <v>55</v>
      </c>
      <c r="C9" s="2">
        <v>756</v>
      </c>
      <c r="H9" s="9" t="s">
        <v>60</v>
      </c>
      <c r="I9" s="10">
        <v>7606</v>
      </c>
      <c r="K9" s="9" t="s">
        <v>57</v>
      </c>
      <c r="L9" s="10"/>
      <c r="M9" s="10">
        <v>785</v>
      </c>
      <c r="N9" s="10"/>
      <c r="O9" s="10"/>
      <c r="P9" s="10">
        <v>785</v>
      </c>
    </row>
    <row r="10" spans="1:16" x14ac:dyDescent="0.25">
      <c r="A10" s="2" t="s">
        <v>49</v>
      </c>
      <c r="B10" s="2" t="s">
        <v>53</v>
      </c>
      <c r="C10" s="2">
        <v>984</v>
      </c>
      <c r="K10" s="9" t="s">
        <v>60</v>
      </c>
      <c r="L10" s="10">
        <v>1209</v>
      </c>
      <c r="M10" s="10">
        <v>2569</v>
      </c>
      <c r="N10" s="10">
        <v>2334</v>
      </c>
      <c r="O10" s="10">
        <v>1494</v>
      </c>
      <c r="P10" s="10">
        <v>7606</v>
      </c>
    </row>
    <row r="11" spans="1:16" x14ac:dyDescent="0.25">
      <c r="A11" s="2" t="s">
        <v>50</v>
      </c>
      <c r="B11" s="2" t="s">
        <v>56</v>
      </c>
      <c r="C11" s="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2015-06-05T18:17:20Z</dcterms:created>
  <dcterms:modified xsi:type="dcterms:W3CDTF">2026-08-05T05:53:22Z</dcterms:modified>
</cp:coreProperties>
</file>