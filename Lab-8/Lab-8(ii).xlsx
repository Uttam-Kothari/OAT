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-3\OAT\Lab-8\"/>
    </mc:Choice>
  </mc:AlternateContent>
  <xr:revisionPtr revIDLastSave="0" documentId="13_ncr:1_{AEEE2AD4-1F10-45D6-BBFE-6AB2B0EB3301}" xr6:coauthVersionLast="47" xr6:coauthVersionMax="47" xr10:uidLastSave="{00000000-0000-0000-0000-000000000000}"/>
  <bookViews>
    <workbookView xWindow="-108" yWindow="-108" windowWidth="23256" windowHeight="12456" xr2:uid="{57DE4CD0-CB84-46F1-A74B-14347C7C0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3" i="1"/>
  <c r="Q14" i="1"/>
  <c r="Q15" i="1"/>
  <c r="Q16" i="1"/>
  <c r="Q17" i="1"/>
  <c r="Q3" i="1"/>
  <c r="J4" i="1"/>
  <c r="Q4" i="1" s="1"/>
  <c r="J5" i="1"/>
  <c r="Q5" i="1" s="1"/>
  <c r="J6" i="1"/>
  <c r="Q6" i="1" s="1"/>
  <c r="J7" i="1"/>
  <c r="Q7" i="1" s="1"/>
  <c r="J8" i="1"/>
  <c r="Q8" i="1" s="1"/>
  <c r="J9" i="1"/>
  <c r="Q9" i="1" s="1"/>
  <c r="J10" i="1"/>
  <c r="Q10" i="1" s="1"/>
  <c r="J11" i="1"/>
  <c r="Q11" i="1" s="1"/>
  <c r="J12" i="1"/>
  <c r="Q12" i="1" s="1"/>
  <c r="J13" i="1"/>
  <c r="Q13" i="1" s="1"/>
  <c r="J14" i="1"/>
  <c r="J15" i="1"/>
  <c r="J16" i="1"/>
  <c r="J17" i="1"/>
  <c r="J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</calcChain>
</file>

<file path=xl/sharedStrings.xml><?xml version="1.0" encoding="utf-8"?>
<sst xmlns="http://schemas.openxmlformats.org/spreadsheetml/2006/main" count="52" uniqueCount="47">
  <si>
    <t>TOTAL</t>
  </si>
  <si>
    <t>PERENTAGE</t>
  </si>
  <si>
    <t>MIN</t>
  </si>
  <si>
    <t>MAX</t>
  </si>
  <si>
    <t>LOWER</t>
  </si>
  <si>
    <t>UPPER</t>
  </si>
  <si>
    <t>PROPER</t>
  </si>
  <si>
    <t>SUB1</t>
  </si>
  <si>
    <t>SUB2</t>
  </si>
  <si>
    <t>SUB3</t>
  </si>
  <si>
    <t>SUB4</t>
  </si>
  <si>
    <t>SUB5</t>
  </si>
  <si>
    <t>AVGRAGE</t>
  </si>
  <si>
    <t>GADE</t>
  </si>
  <si>
    <t>CONCAT</t>
  </si>
  <si>
    <t>TRIM</t>
  </si>
  <si>
    <t>LAST NAME</t>
  </si>
  <si>
    <t>Uttam</t>
  </si>
  <si>
    <t>Kothari</t>
  </si>
  <si>
    <t>FIRST NAME</t>
  </si>
  <si>
    <t>ROLL NO.</t>
  </si>
  <si>
    <t>Naitik</t>
  </si>
  <si>
    <t>Kakadiya</t>
  </si>
  <si>
    <t>Tirth</t>
  </si>
  <si>
    <t>Dholariya</t>
  </si>
  <si>
    <t>Shivam</t>
  </si>
  <si>
    <t>Vadhela</t>
  </si>
  <si>
    <t>Vandan</t>
  </si>
  <si>
    <t>Harkhani</t>
  </si>
  <si>
    <t>Meet</t>
  </si>
  <si>
    <t>Abhi</t>
  </si>
  <si>
    <t>Chovatiya</t>
  </si>
  <si>
    <t>Jeel</t>
  </si>
  <si>
    <t>Rokad</t>
  </si>
  <si>
    <t>Prince</t>
  </si>
  <si>
    <t>Gajera</t>
  </si>
  <si>
    <t>Harsh</t>
  </si>
  <si>
    <t>Rangani</t>
  </si>
  <si>
    <t>Hirpara</t>
  </si>
  <si>
    <t>Bhavay</t>
  </si>
  <si>
    <t>Krish</t>
  </si>
  <si>
    <t>Lakhadhir</t>
  </si>
  <si>
    <t>Dhankecha</t>
  </si>
  <si>
    <t>Dharm</t>
  </si>
  <si>
    <t>COUNT</t>
  </si>
  <si>
    <t>COUNTA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</si>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</sst>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2" fillId="0" borderId="1" xfId="0" applyFont="1" applyBorder="1"/>
    <xf numFmtId="0" fontId="0" fillId="6" borderId="1" xfId="0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9DD5-B1CD-42F2-92DE-7C20C0A2BC3D}">
  <dimension ref="A2:S22"/>
  <sheetViews>
    <sheetView tabSelected="1" zoomScale="78" zoomScaleNormal="78" workbookViewId="0">
      <selection activeCell="K22" sqref="K22"/>
    </sheetView>
  </sheetViews>
  <sheetFormatPr defaultRowHeight="14.4" x14ac:dyDescent="0.3"/>
  <cols>
    <col min="1" max="1" width="12.21875" customWidth="1"/>
    <col min="2" max="2" width="16.33203125" customWidth="1"/>
    <col min="3" max="3" width="15.6640625" customWidth="1"/>
    <col min="4" max="8" width="7.88671875" customWidth="1"/>
    <col min="9" max="9" width="9.77734375" customWidth="1"/>
    <col min="10" max="10" width="12.6640625" customWidth="1"/>
    <col min="11" max="11" width="14.21875" bestFit="1" customWidth="1"/>
    <col min="12" max="13" width="10.6640625" customWidth="1"/>
    <col min="14" max="14" width="12.77734375" customWidth="1"/>
    <col min="15" max="15" width="13.21875" customWidth="1"/>
    <col min="16" max="16" width="13" customWidth="1"/>
    <col min="17" max="17" width="11.21875" customWidth="1"/>
    <col min="18" max="18" width="16.5546875" customWidth="1"/>
    <col min="19" max="19" width="12.5546875" customWidth="1"/>
  </cols>
  <sheetData>
    <row r="2" spans="1:19" ht="18" x14ac:dyDescent="0.35">
      <c r="A2" s="1" t="s">
        <v>20</v>
      </c>
      <c r="B2" s="2" t="s">
        <v>19</v>
      </c>
      <c r="C2" s="2" t="s">
        <v>16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0</v>
      </c>
      <c r="J2" s="1" t="s">
        <v>12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13</v>
      </c>
      <c r="R2" s="1" t="s">
        <v>14</v>
      </c>
      <c r="S2" s="1" t="s">
        <v>15</v>
      </c>
    </row>
    <row r="3" spans="1:19" x14ac:dyDescent="0.3">
      <c r="A3" s="3">
        <v>101</v>
      </c>
      <c r="B3" s="4" t="s">
        <v>17</v>
      </c>
      <c r="C3" s="4" t="s">
        <v>18</v>
      </c>
      <c r="D3" s="5">
        <v>52</v>
      </c>
      <c r="E3" s="5">
        <v>45</v>
      </c>
      <c r="F3" s="5">
        <v>68</v>
      </c>
      <c r="G3" s="5">
        <v>78</v>
      </c>
      <c r="H3" s="5">
        <v>59</v>
      </c>
      <c r="I3" s="8">
        <f>SUM(D3:H3)</f>
        <v>302</v>
      </c>
      <c r="J3" s="8">
        <f>AVERAGE(D3:H3)</f>
        <v>60.4</v>
      </c>
      <c r="K3" s="9">
        <f>AVERAGE(D3:H3)/100</f>
        <v>0.60399999999999998</v>
      </c>
      <c r="L3" s="8">
        <f>MIN(D3:H3)</f>
        <v>45</v>
      </c>
      <c r="M3" s="8">
        <f>MAX(D3:H3)</f>
        <v>78</v>
      </c>
      <c r="N3" s="6" t="str">
        <f>LOWER(B3)</f>
        <v>uttam</v>
      </c>
      <c r="O3" s="6" t="str">
        <f>UPPER(B3)</f>
        <v>UTTAM</v>
      </c>
      <c r="P3" s="6" t="str">
        <f>PROPER(B3)</f>
        <v>Uttam</v>
      </c>
      <c r="Q3" s="8" t="str">
        <f>IF(J3&gt;=70,"A",IF(J3&gt;=60,"B",IF(J3&gt;=50,"C","FAIL")))</f>
        <v>B</v>
      </c>
      <c r="R3" s="6" t="str">
        <f>_xlfn.CONCAT(A3," -  ",B3)</f>
        <v>101 -  Uttam</v>
      </c>
      <c r="S3" s="6" t="str">
        <f>TRIM(B3)</f>
        <v>Uttam</v>
      </c>
    </row>
    <row r="4" spans="1:19" x14ac:dyDescent="0.3">
      <c r="A4" s="3">
        <v>102</v>
      </c>
      <c r="B4" s="4" t="s">
        <v>21</v>
      </c>
      <c r="C4" s="4" t="s">
        <v>22</v>
      </c>
      <c r="D4" s="5">
        <v>63</v>
      </c>
      <c r="E4" s="5">
        <v>54</v>
      </c>
      <c r="F4" s="5">
        <v>79</v>
      </c>
      <c r="G4" s="5">
        <v>69</v>
      </c>
      <c r="H4" s="5">
        <v>85</v>
      </c>
      <c r="I4" s="8">
        <f t="shared" ref="I4:I17" si="0">SUM(D4:H4)</f>
        <v>350</v>
      </c>
      <c r="J4" s="8">
        <f t="shared" ref="J4:J17" si="1">AVERAGE(D4:H4)</f>
        <v>70</v>
      </c>
      <c r="K4" s="9">
        <f t="shared" ref="K4:K17" si="2">AVERAGE(D4:H4)/100</f>
        <v>0.7</v>
      </c>
      <c r="L4" s="8">
        <f t="shared" ref="L4:L17" si="3">MIN(D4:H4)</f>
        <v>54</v>
      </c>
      <c r="M4" s="8">
        <f t="shared" ref="M4:M17" si="4">MAX(D4:H4)</f>
        <v>85</v>
      </c>
      <c r="N4" s="6" t="str">
        <f t="shared" ref="N4:N17" si="5">LOWER(B4)</f>
        <v>naitik</v>
      </c>
      <c r="O4" s="6" t="str">
        <f t="shared" ref="O4:O17" si="6">UPPER(B4)</f>
        <v>NAITIK</v>
      </c>
      <c r="P4" s="6" t="str">
        <f t="shared" ref="P4:P17" si="7">PROPER(B4)</f>
        <v>Naitik</v>
      </c>
      <c r="Q4" s="8" t="str">
        <f t="shared" ref="Q4:Q17" si="8">IF(J4&gt;=70,"A",IF(J4&gt;=60,"B",IF(J4&gt;=50,"C","FAIL")))</f>
        <v>A</v>
      </c>
      <c r="R4" s="6" t="str">
        <f t="shared" ref="R4:R17" si="9">_xlfn.CONCAT(A4," -  ",B4)</f>
        <v>102 -  Naitik</v>
      </c>
      <c r="S4" s="6" t="str">
        <f t="shared" ref="S4:S17" si="10">TRIM(B4)</f>
        <v>Naitik</v>
      </c>
    </row>
    <row r="5" spans="1:19" x14ac:dyDescent="0.3">
      <c r="A5" s="3">
        <v>103</v>
      </c>
      <c r="B5" s="4" t="s">
        <v>23</v>
      </c>
      <c r="C5" s="4" t="s">
        <v>24</v>
      </c>
      <c r="D5" s="5">
        <v>83</v>
      </c>
      <c r="E5" s="5">
        <v>79</v>
      </c>
      <c r="F5" s="5">
        <v>34</v>
      </c>
      <c r="G5" s="5">
        <v>59</v>
      </c>
      <c r="H5" s="5">
        <v>60</v>
      </c>
      <c r="I5" s="8">
        <f t="shared" si="0"/>
        <v>315</v>
      </c>
      <c r="J5" s="8">
        <f t="shared" si="1"/>
        <v>63</v>
      </c>
      <c r="K5" s="9">
        <f t="shared" si="2"/>
        <v>0.63</v>
      </c>
      <c r="L5" s="8">
        <f t="shared" si="3"/>
        <v>34</v>
      </c>
      <c r="M5" s="8">
        <f t="shared" si="4"/>
        <v>83</v>
      </c>
      <c r="N5" s="6" t="str">
        <f t="shared" si="5"/>
        <v>tirth</v>
      </c>
      <c r="O5" s="6" t="str">
        <f t="shared" si="6"/>
        <v>TIRTH</v>
      </c>
      <c r="P5" s="6" t="str">
        <f t="shared" si="7"/>
        <v>Tirth</v>
      </c>
      <c r="Q5" s="8" t="str">
        <f t="shared" si="8"/>
        <v>B</v>
      </c>
      <c r="R5" s="6" t="str">
        <f t="shared" si="9"/>
        <v>103 -  Tirth</v>
      </c>
      <c r="S5" s="6" t="str">
        <f t="shared" si="10"/>
        <v>Tirth</v>
      </c>
    </row>
    <row r="6" spans="1:19" x14ac:dyDescent="0.3">
      <c r="A6" s="3">
        <v>104</v>
      </c>
      <c r="B6" s="4" t="s">
        <v>25</v>
      </c>
      <c r="C6" s="4" t="s">
        <v>26</v>
      </c>
      <c r="D6" s="5">
        <v>94</v>
      </c>
      <c r="E6" s="5">
        <v>56</v>
      </c>
      <c r="F6" s="5">
        <v>35</v>
      </c>
      <c r="G6" s="5">
        <v>58</v>
      </c>
      <c r="H6" s="5">
        <v>61</v>
      </c>
      <c r="I6" s="8">
        <f t="shared" si="0"/>
        <v>304</v>
      </c>
      <c r="J6" s="8">
        <f t="shared" si="1"/>
        <v>60.8</v>
      </c>
      <c r="K6" s="9">
        <f t="shared" si="2"/>
        <v>0.60799999999999998</v>
      </c>
      <c r="L6" s="8">
        <f t="shared" si="3"/>
        <v>35</v>
      </c>
      <c r="M6" s="8">
        <f t="shared" si="4"/>
        <v>94</v>
      </c>
      <c r="N6" s="6" t="str">
        <f t="shared" si="5"/>
        <v>shivam</v>
      </c>
      <c r="O6" s="6" t="str">
        <f t="shared" si="6"/>
        <v>SHIVAM</v>
      </c>
      <c r="P6" s="6" t="str">
        <f t="shared" si="7"/>
        <v>Shivam</v>
      </c>
      <c r="Q6" s="8" t="str">
        <f t="shared" si="8"/>
        <v>B</v>
      </c>
      <c r="R6" s="6" t="str">
        <f t="shared" si="9"/>
        <v>104 -  Shivam</v>
      </c>
      <c r="S6" s="6" t="str">
        <f t="shared" si="10"/>
        <v>Shivam</v>
      </c>
    </row>
    <row r="7" spans="1:19" x14ac:dyDescent="0.3">
      <c r="A7" s="3">
        <v>105</v>
      </c>
      <c r="B7" s="4" t="s">
        <v>27</v>
      </c>
      <c r="C7" s="4" t="s">
        <v>28</v>
      </c>
      <c r="D7" s="5">
        <v>68</v>
      </c>
      <c r="E7" s="5">
        <v>53</v>
      </c>
      <c r="F7" s="5">
        <v>36</v>
      </c>
      <c r="G7" s="5">
        <v>57</v>
      </c>
      <c r="H7" s="5">
        <v>62</v>
      </c>
      <c r="I7" s="8">
        <f t="shared" si="0"/>
        <v>276</v>
      </c>
      <c r="J7" s="8">
        <f t="shared" si="1"/>
        <v>55.2</v>
      </c>
      <c r="K7" s="9">
        <f t="shared" si="2"/>
        <v>0.55200000000000005</v>
      </c>
      <c r="L7" s="8">
        <f t="shared" si="3"/>
        <v>36</v>
      </c>
      <c r="M7" s="8">
        <f t="shared" si="4"/>
        <v>68</v>
      </c>
      <c r="N7" s="6" t="str">
        <f t="shared" si="5"/>
        <v>vandan</v>
      </c>
      <c r="O7" s="6" t="str">
        <f t="shared" si="6"/>
        <v>VANDAN</v>
      </c>
      <c r="P7" s="6" t="str">
        <f t="shared" si="7"/>
        <v>Vandan</v>
      </c>
      <c r="Q7" s="8" t="str">
        <f t="shared" si="8"/>
        <v>C</v>
      </c>
      <c r="R7" s="6" t="str">
        <f t="shared" si="9"/>
        <v>105 -  Vandan</v>
      </c>
      <c r="S7" s="6" t="str">
        <f t="shared" si="10"/>
        <v>Vandan</v>
      </c>
    </row>
    <row r="8" spans="1:19" x14ac:dyDescent="0.3">
      <c r="A8" s="3">
        <v>106</v>
      </c>
      <c r="B8" s="4" t="s">
        <v>29</v>
      </c>
      <c r="C8" s="4" t="s">
        <v>28</v>
      </c>
      <c r="D8" s="5">
        <v>49</v>
      </c>
      <c r="E8" s="5">
        <v>57</v>
      </c>
      <c r="F8" s="5">
        <v>37</v>
      </c>
      <c r="G8" s="5">
        <v>56</v>
      </c>
      <c r="H8" s="5">
        <v>63</v>
      </c>
      <c r="I8" s="8">
        <f t="shared" si="0"/>
        <v>262</v>
      </c>
      <c r="J8" s="8">
        <f t="shared" si="1"/>
        <v>52.4</v>
      </c>
      <c r="K8" s="9">
        <f t="shared" si="2"/>
        <v>0.52400000000000002</v>
      </c>
      <c r="L8" s="8">
        <f t="shared" si="3"/>
        <v>37</v>
      </c>
      <c r="M8" s="8">
        <f t="shared" si="4"/>
        <v>63</v>
      </c>
      <c r="N8" s="6" t="str">
        <f t="shared" si="5"/>
        <v>meet</v>
      </c>
      <c r="O8" s="6" t="str">
        <f t="shared" si="6"/>
        <v>MEET</v>
      </c>
      <c r="P8" s="6" t="str">
        <f t="shared" si="7"/>
        <v>Meet</v>
      </c>
      <c r="Q8" s="8" t="str">
        <f t="shared" si="8"/>
        <v>C</v>
      </c>
      <c r="R8" s="6" t="str">
        <f t="shared" si="9"/>
        <v>106 -  Meet</v>
      </c>
      <c r="S8" s="6" t="str">
        <f t="shared" si="10"/>
        <v>Meet</v>
      </c>
    </row>
    <row r="9" spans="1:19" x14ac:dyDescent="0.3">
      <c r="A9" s="3">
        <v>107</v>
      </c>
      <c r="B9" s="4" t="s">
        <v>30</v>
      </c>
      <c r="C9" s="4" t="s">
        <v>31</v>
      </c>
      <c r="D9" s="5">
        <v>79</v>
      </c>
      <c r="E9" s="5">
        <v>59</v>
      </c>
      <c r="F9" s="5">
        <v>38</v>
      </c>
      <c r="G9" s="5">
        <v>55</v>
      </c>
      <c r="H9" s="5">
        <v>64</v>
      </c>
      <c r="I9" s="8">
        <f t="shared" si="0"/>
        <v>295</v>
      </c>
      <c r="J9" s="8">
        <f t="shared" si="1"/>
        <v>59</v>
      </c>
      <c r="K9" s="9">
        <f t="shared" si="2"/>
        <v>0.59</v>
      </c>
      <c r="L9" s="8">
        <f t="shared" si="3"/>
        <v>38</v>
      </c>
      <c r="M9" s="8">
        <f t="shared" si="4"/>
        <v>79</v>
      </c>
      <c r="N9" s="6" t="str">
        <f t="shared" si="5"/>
        <v>abhi</v>
      </c>
      <c r="O9" s="6" t="str">
        <f t="shared" si="6"/>
        <v>ABHI</v>
      </c>
      <c r="P9" s="6" t="str">
        <f t="shared" si="7"/>
        <v>Abhi</v>
      </c>
      <c r="Q9" s="8" t="str">
        <f t="shared" si="8"/>
        <v>C</v>
      </c>
      <c r="R9" s="6" t="str">
        <f t="shared" si="9"/>
        <v>107 -  Abhi</v>
      </c>
      <c r="S9" s="6" t="str">
        <f t="shared" si="10"/>
        <v>Abhi</v>
      </c>
    </row>
    <row r="10" spans="1:19" x14ac:dyDescent="0.3">
      <c r="A10" s="3">
        <v>108</v>
      </c>
      <c r="B10" s="4" t="s">
        <v>32</v>
      </c>
      <c r="C10" s="4" t="s">
        <v>33</v>
      </c>
      <c r="D10" s="5">
        <v>58</v>
      </c>
      <c r="E10" s="5">
        <v>86</v>
      </c>
      <c r="F10" s="5">
        <v>39</v>
      </c>
      <c r="G10" s="5">
        <v>54</v>
      </c>
      <c r="H10" s="5">
        <v>65</v>
      </c>
      <c r="I10" s="8">
        <f t="shared" si="0"/>
        <v>302</v>
      </c>
      <c r="J10" s="8">
        <f t="shared" si="1"/>
        <v>60.4</v>
      </c>
      <c r="K10" s="9">
        <f t="shared" si="2"/>
        <v>0.60399999999999998</v>
      </c>
      <c r="L10" s="8">
        <f t="shared" si="3"/>
        <v>39</v>
      </c>
      <c r="M10" s="8">
        <f t="shared" si="4"/>
        <v>86</v>
      </c>
      <c r="N10" s="6" t="str">
        <f t="shared" si="5"/>
        <v>jeel</v>
      </c>
      <c r="O10" s="6" t="str">
        <f t="shared" si="6"/>
        <v>JEEL</v>
      </c>
      <c r="P10" s="6" t="str">
        <f t="shared" si="7"/>
        <v>Jeel</v>
      </c>
      <c r="Q10" s="8" t="str">
        <f t="shared" si="8"/>
        <v>B</v>
      </c>
      <c r="R10" s="6" t="str">
        <f t="shared" si="9"/>
        <v>108 -  Jeel</v>
      </c>
      <c r="S10" s="6" t="str">
        <f t="shared" si="10"/>
        <v>Jeel</v>
      </c>
    </row>
    <row r="11" spans="1:19" x14ac:dyDescent="0.3">
      <c r="A11" s="3">
        <v>109</v>
      </c>
      <c r="B11" s="4" t="s">
        <v>34</v>
      </c>
      <c r="C11" s="4" t="s">
        <v>18</v>
      </c>
      <c r="D11" s="5">
        <v>63</v>
      </c>
      <c r="E11" s="5">
        <v>96</v>
      </c>
      <c r="F11" s="5">
        <v>40</v>
      </c>
      <c r="G11" s="5">
        <v>53</v>
      </c>
      <c r="H11" s="5">
        <v>66</v>
      </c>
      <c r="I11" s="8">
        <f t="shared" si="0"/>
        <v>318</v>
      </c>
      <c r="J11" s="8">
        <f t="shared" si="1"/>
        <v>63.6</v>
      </c>
      <c r="K11" s="9">
        <f t="shared" si="2"/>
        <v>0.63600000000000001</v>
      </c>
      <c r="L11" s="8">
        <f t="shared" si="3"/>
        <v>40</v>
      </c>
      <c r="M11" s="8">
        <f t="shared" si="4"/>
        <v>96</v>
      </c>
      <c r="N11" s="6" t="str">
        <f t="shared" si="5"/>
        <v>prince</v>
      </c>
      <c r="O11" s="6" t="str">
        <f t="shared" si="6"/>
        <v>PRINCE</v>
      </c>
      <c r="P11" s="6" t="str">
        <f t="shared" si="7"/>
        <v>Prince</v>
      </c>
      <c r="Q11" s="8" t="str">
        <f t="shared" si="8"/>
        <v>B</v>
      </c>
      <c r="R11" s="6" t="str">
        <f t="shared" si="9"/>
        <v>109 -  Prince</v>
      </c>
      <c r="S11" s="6" t="str">
        <f t="shared" si="10"/>
        <v>Prince</v>
      </c>
    </row>
    <row r="12" spans="1:19" x14ac:dyDescent="0.3">
      <c r="A12" s="3">
        <v>110</v>
      </c>
      <c r="B12" s="4" t="s">
        <v>34</v>
      </c>
      <c r="C12" s="4" t="s">
        <v>35</v>
      </c>
      <c r="D12" s="5">
        <v>91</v>
      </c>
      <c r="E12" s="5">
        <v>76</v>
      </c>
      <c r="F12" s="5">
        <v>41</v>
      </c>
      <c r="G12" s="5">
        <v>52</v>
      </c>
      <c r="H12" s="5">
        <v>67</v>
      </c>
      <c r="I12" s="8">
        <f t="shared" si="0"/>
        <v>327</v>
      </c>
      <c r="J12" s="8">
        <f t="shared" si="1"/>
        <v>65.400000000000006</v>
      </c>
      <c r="K12" s="9">
        <f t="shared" si="2"/>
        <v>0.65400000000000003</v>
      </c>
      <c r="L12" s="8">
        <f t="shared" si="3"/>
        <v>41</v>
      </c>
      <c r="M12" s="8">
        <f t="shared" si="4"/>
        <v>91</v>
      </c>
      <c r="N12" s="6" t="str">
        <f t="shared" si="5"/>
        <v>prince</v>
      </c>
      <c r="O12" s="6" t="str">
        <f t="shared" si="6"/>
        <v>PRINCE</v>
      </c>
      <c r="P12" s="6" t="str">
        <f t="shared" si="7"/>
        <v>Prince</v>
      </c>
      <c r="Q12" s="8" t="str">
        <f t="shared" si="8"/>
        <v>B</v>
      </c>
      <c r="R12" s="6" t="str">
        <f t="shared" si="9"/>
        <v>110 -  Prince</v>
      </c>
      <c r="S12" s="6" t="str">
        <f t="shared" si="10"/>
        <v>Prince</v>
      </c>
    </row>
    <row r="13" spans="1:19" x14ac:dyDescent="0.3">
      <c r="A13" s="3">
        <v>111</v>
      </c>
      <c r="B13" s="4" t="s">
        <v>36</v>
      </c>
      <c r="C13" s="4" t="s">
        <v>37</v>
      </c>
      <c r="D13" s="5">
        <v>83</v>
      </c>
      <c r="E13" s="5">
        <v>59</v>
      </c>
      <c r="F13" s="5">
        <v>42</v>
      </c>
      <c r="G13" s="5">
        <v>51</v>
      </c>
      <c r="H13" s="5">
        <v>68</v>
      </c>
      <c r="I13" s="8">
        <f t="shared" si="0"/>
        <v>303</v>
      </c>
      <c r="J13" s="8">
        <f t="shared" si="1"/>
        <v>60.6</v>
      </c>
      <c r="K13" s="9">
        <f t="shared" si="2"/>
        <v>0.60599999999999998</v>
      </c>
      <c r="L13" s="8">
        <f t="shared" si="3"/>
        <v>42</v>
      </c>
      <c r="M13" s="8">
        <f t="shared" si="4"/>
        <v>83</v>
      </c>
      <c r="N13" s="6" t="str">
        <f t="shared" si="5"/>
        <v>harsh</v>
      </c>
      <c r="O13" s="6" t="str">
        <f t="shared" si="6"/>
        <v>HARSH</v>
      </c>
      <c r="P13" s="6" t="str">
        <f t="shared" si="7"/>
        <v>Harsh</v>
      </c>
      <c r="Q13" s="8" t="str">
        <f t="shared" si="8"/>
        <v>B</v>
      </c>
      <c r="R13" s="6" t="str">
        <f t="shared" si="9"/>
        <v>111 -  Harsh</v>
      </c>
      <c r="S13" s="6" t="str">
        <f t="shared" si="10"/>
        <v>Harsh</v>
      </c>
    </row>
    <row r="14" spans="1:19" x14ac:dyDescent="0.3">
      <c r="A14" s="3">
        <v>112</v>
      </c>
      <c r="B14" s="4" t="s">
        <v>39</v>
      </c>
      <c r="C14" s="4" t="s">
        <v>38</v>
      </c>
      <c r="D14" s="5">
        <v>76</v>
      </c>
      <c r="E14" s="5">
        <v>87</v>
      </c>
      <c r="F14" s="5">
        <v>43</v>
      </c>
      <c r="G14" s="5">
        <v>50</v>
      </c>
      <c r="H14" s="5">
        <v>69</v>
      </c>
      <c r="I14" s="8">
        <f t="shared" si="0"/>
        <v>325</v>
      </c>
      <c r="J14" s="8">
        <f t="shared" si="1"/>
        <v>65</v>
      </c>
      <c r="K14" s="9">
        <f t="shared" si="2"/>
        <v>0.65</v>
      </c>
      <c r="L14" s="8">
        <f t="shared" si="3"/>
        <v>43</v>
      </c>
      <c r="M14" s="8">
        <f t="shared" si="4"/>
        <v>87</v>
      </c>
      <c r="N14" s="6" t="str">
        <f t="shared" si="5"/>
        <v>bhavay</v>
      </c>
      <c r="O14" s="6" t="str">
        <f t="shared" si="6"/>
        <v>BHAVAY</v>
      </c>
      <c r="P14" s="6" t="str">
        <f t="shared" si="7"/>
        <v>Bhavay</v>
      </c>
      <c r="Q14" s="8" t="str">
        <f t="shared" si="8"/>
        <v>B</v>
      </c>
      <c r="R14" s="6" t="str">
        <f t="shared" si="9"/>
        <v>112 -  Bhavay</v>
      </c>
      <c r="S14" s="6" t="str">
        <f t="shared" si="10"/>
        <v>Bhavay</v>
      </c>
    </row>
    <row r="15" spans="1:19" x14ac:dyDescent="0.3">
      <c r="A15" s="3">
        <v>113</v>
      </c>
      <c r="B15" s="4" t="s">
        <v>40</v>
      </c>
      <c r="C15" s="4" t="s">
        <v>41</v>
      </c>
      <c r="D15" s="5">
        <v>94</v>
      </c>
      <c r="E15" s="5">
        <v>69</v>
      </c>
      <c r="F15" s="5">
        <v>44</v>
      </c>
      <c r="G15" s="5">
        <v>49</v>
      </c>
      <c r="H15" s="5">
        <v>70</v>
      </c>
      <c r="I15" s="8">
        <f t="shared" si="0"/>
        <v>326</v>
      </c>
      <c r="J15" s="8">
        <f t="shared" si="1"/>
        <v>65.2</v>
      </c>
      <c r="K15" s="9">
        <f t="shared" si="2"/>
        <v>0.65200000000000002</v>
      </c>
      <c r="L15" s="8">
        <f t="shared" si="3"/>
        <v>44</v>
      </c>
      <c r="M15" s="8">
        <f t="shared" si="4"/>
        <v>94</v>
      </c>
      <c r="N15" s="6" t="str">
        <f t="shared" si="5"/>
        <v>krish</v>
      </c>
      <c r="O15" s="6" t="str">
        <f t="shared" si="6"/>
        <v>KRISH</v>
      </c>
      <c r="P15" s="6" t="str">
        <f t="shared" si="7"/>
        <v>Krish</v>
      </c>
      <c r="Q15" s="8" t="str">
        <f t="shared" si="8"/>
        <v>B</v>
      </c>
      <c r="R15" s="6" t="str">
        <f t="shared" si="9"/>
        <v>113 -  Krish</v>
      </c>
      <c r="S15" s="6" t="str">
        <f t="shared" si="10"/>
        <v>Krish</v>
      </c>
    </row>
    <row r="16" spans="1:19" x14ac:dyDescent="0.3">
      <c r="A16" s="3">
        <v>114</v>
      </c>
      <c r="B16" s="4" t="s">
        <v>32</v>
      </c>
      <c r="C16" s="4" t="s">
        <v>42</v>
      </c>
      <c r="D16" s="5">
        <v>99</v>
      </c>
      <c r="E16" s="5">
        <v>54</v>
      </c>
      <c r="F16" s="5">
        <v>45</v>
      </c>
      <c r="G16" s="5">
        <v>48</v>
      </c>
      <c r="H16" s="5">
        <v>71</v>
      </c>
      <c r="I16" s="8">
        <f t="shared" si="0"/>
        <v>317</v>
      </c>
      <c r="J16" s="8">
        <f t="shared" si="1"/>
        <v>63.4</v>
      </c>
      <c r="K16" s="9">
        <f t="shared" si="2"/>
        <v>0.63400000000000001</v>
      </c>
      <c r="L16" s="8">
        <f t="shared" si="3"/>
        <v>45</v>
      </c>
      <c r="M16" s="8">
        <f t="shared" si="4"/>
        <v>99</v>
      </c>
      <c r="N16" s="6" t="str">
        <f t="shared" si="5"/>
        <v>jeel</v>
      </c>
      <c r="O16" s="6" t="str">
        <f t="shared" si="6"/>
        <v>JEEL</v>
      </c>
      <c r="P16" s="6" t="str">
        <f t="shared" si="7"/>
        <v>Jeel</v>
      </c>
      <c r="Q16" s="8" t="str">
        <f t="shared" si="8"/>
        <v>B</v>
      </c>
      <c r="R16" s="6" t="str">
        <f t="shared" si="9"/>
        <v>114 -  Jeel</v>
      </c>
      <c r="S16" s="6" t="str">
        <f t="shared" si="10"/>
        <v>Jeel</v>
      </c>
    </row>
    <row r="17" spans="1:19" x14ac:dyDescent="0.3">
      <c r="A17" s="3">
        <v>115</v>
      </c>
      <c r="B17" s="4" t="s">
        <v>43</v>
      </c>
      <c r="C17" s="4" t="s">
        <v>42</v>
      </c>
      <c r="D17" s="5">
        <v>100</v>
      </c>
      <c r="E17" s="5">
        <v>86</v>
      </c>
      <c r="F17" s="5">
        <v>46</v>
      </c>
      <c r="G17" s="5">
        <v>47</v>
      </c>
      <c r="H17" s="5">
        <v>72</v>
      </c>
      <c r="I17" s="8">
        <f t="shared" si="0"/>
        <v>351</v>
      </c>
      <c r="J17" s="8">
        <f t="shared" si="1"/>
        <v>70.2</v>
      </c>
      <c r="K17" s="9">
        <f t="shared" si="2"/>
        <v>0.70200000000000007</v>
      </c>
      <c r="L17" s="8">
        <f t="shared" si="3"/>
        <v>46</v>
      </c>
      <c r="M17" s="8">
        <f t="shared" si="4"/>
        <v>100</v>
      </c>
      <c r="N17" s="6" t="str">
        <f t="shared" si="5"/>
        <v>dharm</v>
      </c>
      <c r="O17" s="6" t="str">
        <f t="shared" si="6"/>
        <v>DHARM</v>
      </c>
      <c r="P17" s="6" t="str">
        <f t="shared" si="7"/>
        <v>Dharm</v>
      </c>
      <c r="Q17" s="8" t="str">
        <f t="shared" si="8"/>
        <v>A</v>
      </c>
      <c r="R17" s="6" t="str">
        <f t="shared" si="9"/>
        <v>115 -  Dharm</v>
      </c>
      <c r="S17" s="6" t="str">
        <f t="shared" si="10"/>
        <v>Dharm</v>
      </c>
    </row>
    <row r="20" spans="1:19" x14ac:dyDescent="0.3">
      <c r="A20" s="7" t="s">
        <v>44</v>
      </c>
      <c r="B20" s="10">
        <f>COUNT(A3:A17)</f>
        <v>15</v>
      </c>
    </row>
    <row r="21" spans="1:19" x14ac:dyDescent="0.3">
      <c r="A21" s="7" t="s">
        <v>45</v>
      </c>
      <c r="B21" s="10">
        <f>COUNTA(B3:B17)</f>
        <v>15</v>
      </c>
    </row>
    <row r="22" spans="1:19" x14ac:dyDescent="0.3">
      <c r="A22" s="7" t="s">
        <v>46</v>
      </c>
      <c r="B22" s="10">
        <f>COUNTIF(I3:I17,"&gt;=320")</f>
        <v>5</v>
      </c>
    </row>
  </sheetData>
  <dataValidations count="1">
    <dataValidation type="whole" allowBlank="1" showInputMessage="1" showErrorMessage="1" promptTitle="failed" prompt="Mark between 33 to 100" sqref="D3:H17" xr:uid="{EF4A9F66-8681-4D74-B927-4F854ACACB18}">
      <formula1>33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Uttam kothari</cp:lastModifiedBy>
  <dcterms:created xsi:type="dcterms:W3CDTF">2026-07-29T04:36:15Z</dcterms:created>
  <dcterms:modified xsi:type="dcterms:W3CDTF">2026-07-29T11:27:36Z</dcterms:modified>
</cp:coreProperties>
</file>