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E:\Sem-3\OAT\Lab-11\"/>
    </mc:Choice>
  </mc:AlternateContent>
  <xr:revisionPtr revIDLastSave="0" documentId="13_ncr:1_{DC7CC074-8BEF-4DF7-82D4-0CB13051E211}" xr6:coauthVersionLast="47" xr6:coauthVersionMax="47" xr10:uidLastSave="{00000000-0000-0000-0000-000000000000}"/>
  <bookViews>
    <workbookView xWindow="-108" yWindow="-108" windowWidth="23256" windowHeight="12456" activeTab="1" xr2:uid="{101A325E-D2BD-4126-A1F0-42DDACF5099F}"/>
  </bookViews>
  <sheets>
    <sheet name="Sheet1" sheetId="1" r:id="rId1"/>
    <sheet name="Sheet2" sheetId="2" r:id="rId2"/>
  </sheets>
  <definedNames>
    <definedName name="BBA">Sheet2!$A$2:$A$3</definedName>
    <definedName name="BCA">Sheet2!$B$2:$B$3</definedName>
    <definedName name="Slicer_Category">#N/A</definedName>
    <definedName name="Slicer_Department">#N/A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9" i="1"/>
  <c r="G10" i="1"/>
  <c r="G11" i="1"/>
  <c r="G12" i="1"/>
  <c r="G13" i="1"/>
  <c r="G14" i="1"/>
  <c r="G15" i="1"/>
  <c r="G16" i="1"/>
  <c r="G4" i="1"/>
  <c r="G5" i="1"/>
  <c r="G6" i="1"/>
  <c r="G7" i="1"/>
  <c r="H2" i="1"/>
  <c r="G2" i="1"/>
  <c r="G8" i="1"/>
</calcChain>
</file>

<file path=xl/sharedStrings.xml><?xml version="1.0" encoding="utf-8"?>
<sst xmlns="http://schemas.openxmlformats.org/spreadsheetml/2006/main" count="73" uniqueCount="40">
  <si>
    <t>ID</t>
  </si>
  <si>
    <t>Department</t>
  </si>
  <si>
    <t>Category</t>
  </si>
  <si>
    <t>Product</t>
  </si>
  <si>
    <t>Quantity</t>
  </si>
  <si>
    <t>Sales</t>
  </si>
  <si>
    <t>Electronics</t>
  </si>
  <si>
    <t>Laptop</t>
  </si>
  <si>
    <t>Mechanical</t>
  </si>
  <si>
    <t>Stationery</t>
  </si>
  <si>
    <t>Notebook</t>
  </si>
  <si>
    <t>Electrical</t>
  </si>
  <si>
    <t>Headphones</t>
  </si>
  <si>
    <t>Civil</t>
  </si>
  <si>
    <t>Printer</t>
  </si>
  <si>
    <t>Mouse</t>
  </si>
  <si>
    <t>IT</t>
  </si>
  <si>
    <t>Keyboard</t>
  </si>
  <si>
    <t>Pen</t>
  </si>
  <si>
    <t>Chair</t>
  </si>
  <si>
    <t>Monitor</t>
  </si>
  <si>
    <t>Tablet</t>
  </si>
  <si>
    <t>Desk</t>
  </si>
  <si>
    <t>Furniture</t>
  </si>
  <si>
    <t>Computer</t>
  </si>
  <si>
    <t>Sum of Sales</t>
  </si>
  <si>
    <t>Row Labels</t>
  </si>
  <si>
    <t>Grand Total</t>
  </si>
  <si>
    <t>Index Match</t>
  </si>
  <si>
    <t>Average</t>
  </si>
  <si>
    <t>BBA</t>
  </si>
  <si>
    <t>BCA</t>
  </si>
  <si>
    <t>Finance</t>
  </si>
  <si>
    <t>Marketing</t>
  </si>
  <si>
    <t>Java</t>
  </si>
  <si>
    <t>DEPT</t>
  </si>
  <si>
    <t>SUB</t>
  </si>
  <si>
    <t>T-SQL</t>
  </si>
  <si>
    <t>Cells.EntireColumn.AutoFit</t>
  </si>
  <si>
    <t>code for cell reset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</si>
</sst>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3" borderId="1" xfId="0" applyFill="1" applyBorder="1"/>
    <xf numFmtId="0" fontId="0" fillId="0" borderId="0" xfId="0" pivotButton="1"/>
    <xf numFmtId="0" fontId="0" fillId="0" borderId="0" xfId="0" applyAlignment="1">
      <alignment horizontal="left"/>
    </xf>
    <xf numFmtId="0" fontId="1" fillId="2" borderId="1" xfId="0" applyFont="1" applyFill="1" applyBorder="1" applyAlignment="1">
      <alignment horizontal="center"/>
    </xf>
    <xf numFmtId="0" fontId="0" fillId="3" borderId="1" xfId="0" applyFill="1" applyBorder="1" applyAlignment="1">
      <alignment horizontal="center"/>
    </xf>
    <xf numFmtId="0" fontId="1" fillId="0" borderId="0" xfId="0" applyFont="1" applyAlignment="1">
      <alignment horizontal="center"/>
    </xf>
    <xf numFmtId="164" fontId="0" fillId="3" borderId="1" xfId="0" applyNumberFormat="1" applyFill="1" applyBorder="1"/>
    <xf numFmtId="0" fontId="0" fillId="2" borderId="1" xfId="0" applyFill="1" applyBorder="1"/>
  </cellXfs>
  <cellStyles count="1">
    <cellStyle name="Normal" xfId="0" builtinId="0"/>
  </cellStyles>
  <dxfs count="1">
    <dxf>
      <fill>
        <patternFill>
          <bgColor theme="4" tint="0.79998168889431442"/>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69203849518813"/>
          <c:y val="0.37800488480606592"/>
          <c:w val="0.73578937007874012"/>
          <c:h val="0.53774387576552929"/>
        </c:manualLayout>
      </c:layout>
      <c:barChart>
        <c:barDir val="col"/>
        <c:grouping val="clustered"/>
        <c:varyColors val="0"/>
        <c:ser>
          <c:idx val="0"/>
          <c:order val="0"/>
          <c:tx>
            <c:strRef>
              <c:f>Sheet1!$N$2</c:f>
              <c:strCache>
                <c:ptCount val="1"/>
                <c:pt idx="0">
                  <c:v>Total</c:v>
                </c:pt>
              </c:strCache>
            </c:strRef>
          </c:tx>
          <c:spPr>
            <a:solidFill>
              <a:schemeClr val="accent1"/>
            </a:solidFill>
            <a:ln>
              <a:noFill/>
            </a:ln>
            <a:effectLst/>
          </c:spPr>
          <c:invertIfNegative val="0"/>
          <c:cat>
            <c:strRef>
              <c:f>Sheet1!$M$3:$M$8</c:f>
              <c:strCache>
                <c:ptCount val="5"/>
                <c:pt idx="0">
                  <c:v>Civil</c:v>
                </c:pt>
                <c:pt idx="1">
                  <c:v>Computer</c:v>
                </c:pt>
                <c:pt idx="2">
                  <c:v>Electrical</c:v>
                </c:pt>
                <c:pt idx="3">
                  <c:v>IT</c:v>
                </c:pt>
                <c:pt idx="4">
                  <c:v>Mechanical</c:v>
                </c:pt>
              </c:strCache>
            </c:strRef>
          </c:cat>
          <c:val>
            <c:numRef>
              <c:f>Sheet1!$N$3:$N$8</c:f>
              <c:numCache>
                <c:formatCode>General</c:formatCode>
                <c:ptCount val="5"/>
                <c:pt idx="0">
                  <c:v>48000</c:v>
                </c:pt>
                <c:pt idx="1">
                  <c:v>127750</c:v>
                </c:pt>
                <c:pt idx="2">
                  <c:v>112500</c:v>
                </c:pt>
                <c:pt idx="3">
                  <c:v>57500</c:v>
                </c:pt>
                <c:pt idx="4">
                  <c:v>7750</c:v>
                </c:pt>
              </c:numCache>
            </c:numRef>
          </c:val>
          <c:extLst>
            <c:ext xmlns:c16="http://schemas.microsoft.com/office/drawing/2014/chart" uri="{C3380CC4-5D6E-409C-BE32-E72D297353CC}">
              <c16:uniqueId val="{00000000-7186-414C-8496-915490FEA3DA}"/>
            </c:ext>
          </c:extLst>
        </c:ser>
        <c:dLbls>
          <c:showLegendKey val="0"/>
          <c:showVal val="0"/>
          <c:showCatName val="0"/>
          <c:showSerName val="0"/>
          <c:showPercent val="0"/>
          <c:showBubbleSize val="0"/>
        </c:dLbls>
        <c:gapWidth val="219"/>
        <c:overlap val="-27"/>
        <c:axId val="1274212767"/>
        <c:axId val="1274200767"/>
      </c:barChart>
      <c:catAx>
        <c:axId val="127421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200767"/>
        <c:crosses val="autoZero"/>
        <c:auto val="1"/>
        <c:lblAlgn val="ctr"/>
        <c:lblOffset val="100"/>
        <c:noMultiLvlLbl val="0"/>
      </c:catAx>
      <c:valAx>
        <c:axId val="127420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21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9525</xdr:colOff>
      <xdr:row>1</xdr:row>
      <xdr:rowOff>0</xdr:rowOff>
    </xdr:from>
    <xdr:to>
      <xdr:col>11</xdr:col>
      <xdr:colOff>9525</xdr:colOff>
      <xdr:row>14</xdr:row>
      <xdr:rowOff>9525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05C17225-364D-13BC-B794-7D0860AFA16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572250" y="190500"/>
              <a:ext cx="1685925"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xdr:colOff>
      <xdr:row>1</xdr:row>
      <xdr:rowOff>9525</xdr:rowOff>
    </xdr:from>
    <xdr:to>
      <xdr:col>18</xdr:col>
      <xdr:colOff>0</xdr:colOff>
      <xdr:row>14</xdr:row>
      <xdr:rowOff>19050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E9E32234-C5D5-0D22-484E-A4C9B4CF816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163300" y="200025"/>
              <a:ext cx="1819275"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1906</xdr:colOff>
      <xdr:row>14</xdr:row>
      <xdr:rowOff>178117</xdr:rowOff>
    </xdr:from>
    <xdr:to>
      <xdr:col>14</xdr:col>
      <xdr:colOff>22860</xdr:colOff>
      <xdr:row>24</xdr:row>
      <xdr:rowOff>1</xdr:rowOff>
    </xdr:to>
    <xdr:graphicFrame macro="">
      <xdr:nvGraphicFramePr>
        <xdr:cNvPr id="4" name="Chart 3">
          <a:extLst>
            <a:ext uri="{FF2B5EF4-FFF2-40B4-BE49-F238E27FC236}">
              <a16:creationId xmlns:a16="http://schemas.microsoft.com/office/drawing/2014/main" id="{5561AE8E-5342-A8E7-F7F1-20F31CE61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253.4252037037" createdVersion="8" refreshedVersion="8" minRefreshableVersion="3" recordCount="15" xr:uid="{47083729-0459-46D4-87B5-F048959EFCB4}">
  <cacheSource type="worksheet">
    <worksheetSource ref="A1:F16" sheet="Sheet1"/>
  </cacheSource>
  <cacheFields count="6">
    <cacheField name="ID" numFmtId="0">
      <sharedItems containsSemiMixedTypes="0" containsString="0" containsNumber="1" containsInteger="1" minValue="101" maxValue="115"/>
    </cacheField>
    <cacheField name="Department" numFmtId="0">
      <sharedItems count="5">
        <s v="Computer"/>
        <s v="Mechanical"/>
        <s v="Electrical"/>
        <s v="Civil"/>
        <s v="IT"/>
      </sharedItems>
    </cacheField>
    <cacheField name="Category" numFmtId="0">
      <sharedItems count="3">
        <s v="Electronics"/>
        <s v="Stationery"/>
        <s v="Furniture"/>
      </sharedItems>
    </cacheField>
    <cacheField name="Product" numFmtId="0">
      <sharedItems/>
    </cacheField>
    <cacheField name="Quantity" numFmtId="0">
      <sharedItems containsSemiMixedTypes="0" containsString="0" containsNumber="1" containsInteger="1" minValue="1" maxValue="30"/>
    </cacheField>
    <cacheField name="Sales" numFmtId="0">
      <sharedItems containsSemiMixedTypes="0" containsString="0" containsNumber="1" containsInteger="1" minValue="1250" maxValue="120000"/>
    </cacheField>
  </cacheFields>
  <extLst>
    <ext xmlns:x14="http://schemas.microsoft.com/office/spreadsheetml/2009/9/main" uri="{725AE2AE-9491-48be-B2B4-4EB974FC3084}">
      <x14:pivotCacheDefinition pivotCacheId="1207583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1"/>
    <x v="0"/>
    <x v="0"/>
    <s v="Laptop"/>
    <n v="2"/>
    <n v="120000"/>
  </r>
  <r>
    <n v="102"/>
    <x v="1"/>
    <x v="1"/>
    <s v="Notebook"/>
    <n v="10"/>
    <n v="2500"/>
  </r>
  <r>
    <n v="103"/>
    <x v="2"/>
    <x v="0"/>
    <s v="Headphones"/>
    <n v="5"/>
    <n v="7500"/>
  </r>
  <r>
    <n v="104"/>
    <x v="3"/>
    <x v="0"/>
    <s v="Printer"/>
    <n v="1"/>
    <n v="18000"/>
  </r>
  <r>
    <n v="105"/>
    <x v="0"/>
    <x v="0"/>
    <s v="Mouse"/>
    <n v="8"/>
    <n v="4000"/>
  </r>
  <r>
    <n v="106"/>
    <x v="4"/>
    <x v="0"/>
    <s v="Keyboard"/>
    <n v="6"/>
    <n v="6000"/>
  </r>
  <r>
    <n v="107"/>
    <x v="1"/>
    <x v="1"/>
    <s v="Pen"/>
    <n v="25"/>
    <n v="1250"/>
  </r>
  <r>
    <n v="108"/>
    <x v="3"/>
    <x v="2"/>
    <s v="Chair"/>
    <n v="4"/>
    <n v="16000"/>
  </r>
  <r>
    <n v="109"/>
    <x v="2"/>
    <x v="0"/>
    <s v="Monitor"/>
    <n v="3"/>
    <n v="45000"/>
  </r>
  <r>
    <n v="110"/>
    <x v="4"/>
    <x v="0"/>
    <s v="Tablet"/>
    <n v="2"/>
    <n v="50000"/>
  </r>
  <r>
    <n v="111"/>
    <x v="0"/>
    <x v="1"/>
    <s v="Notebook"/>
    <n v="15"/>
    <n v="3750"/>
  </r>
  <r>
    <n v="112"/>
    <x v="1"/>
    <x v="0"/>
    <s v="Keyboard"/>
    <n v="4"/>
    <n v="4000"/>
  </r>
  <r>
    <n v="113"/>
    <x v="3"/>
    <x v="2"/>
    <s v="Desk"/>
    <n v="2"/>
    <n v="14000"/>
  </r>
  <r>
    <n v="114"/>
    <x v="2"/>
    <x v="0"/>
    <s v="Laptop"/>
    <n v="1"/>
    <n v="60000"/>
  </r>
  <r>
    <n v="115"/>
    <x v="4"/>
    <x v="1"/>
    <s v="Pen"/>
    <n v="30"/>
    <n v="1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1EB673-4498-4548-9D39-153518E51D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2:N8" firstHeaderRow="1" firstDataRow="1" firstDataCol="1"/>
  <pivotFields count="6">
    <pivotField showAll="0"/>
    <pivotField axis="axisRow" showAll="0">
      <items count="6">
        <item x="3"/>
        <item x="0"/>
        <item x="2"/>
        <item x="4"/>
        <item x="1"/>
        <item t="default"/>
      </items>
    </pivotField>
    <pivotField showAll="0">
      <items count="4">
        <item x="0"/>
        <item x="2"/>
        <item x="1"/>
        <item t="default"/>
      </items>
    </pivotField>
    <pivotField showAll="0"/>
    <pivotField showAll="0"/>
    <pivotField dataField="1" showAll="0"/>
  </pivotFields>
  <rowFields count="1">
    <field x="1"/>
  </rowFields>
  <rowItems count="6">
    <i>
      <x/>
    </i>
    <i>
      <x v="1"/>
    </i>
    <i>
      <x v="2"/>
    </i>
    <i>
      <x v="3"/>
    </i>
    <i>
      <x v="4"/>
    </i>
    <i t="grand">
      <x/>
    </i>
  </rowItems>
  <colItems count="1">
    <i/>
  </colItems>
  <dataFields count="1">
    <dataField name="Sum of Sale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A73E921-496C-431C-9011-E1643F268372}" sourceName="Department">
  <pivotTables>
    <pivotTable tabId="1" name="PivotTable1"/>
  </pivotTables>
  <data>
    <tabular pivotCacheId="1207583948">
      <items count="5">
        <i x="3" s="1"/>
        <i x="0"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7F8B5F-B948-4052-847C-DA1B8E55F253}" sourceName="Category">
  <pivotTables>
    <pivotTable tabId="1" name="PivotTable1"/>
  </pivotTables>
  <data>
    <tabular pivotCacheId="120758394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1610999-DA70-4929-B643-98F49530ED78}" cache="Slicer_Department" caption="Department" rowHeight="241300"/>
  <slicer name="Category" xr10:uid="{4045A7EC-2A7E-45A8-8ECB-DCD3D35D3457}" cache="Slicer_Category" caption="Category"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1F966-5D86-41FB-97A1-BB57A72B50E6}">
  <sheetPr codeName="Sheet1"/>
  <dimension ref="A1:N18"/>
  <sheetViews>
    <sheetView workbookViewId="0">
      <selection activeCell="F25" sqref="F25"/>
    </sheetView>
  </sheetViews>
  <sheetFormatPr defaultRowHeight="14.4" x14ac:dyDescent="0.3"/>
  <cols>
    <col min="1" max="1" width="17.77734375" bestFit="1" customWidth="1"/>
    <col min="2" max="2" width="25.6640625" bestFit="1" customWidth="1"/>
    <col min="3" max="3" width="10.5546875" bestFit="1" customWidth="1"/>
    <col min="4" max="4" width="12.109375" bestFit="1" customWidth="1"/>
    <col min="5" max="5" width="8.6640625" bestFit="1" customWidth="1"/>
    <col min="6" max="6" width="8" bestFit="1" customWidth="1"/>
    <col min="7" max="7" width="12" bestFit="1" customWidth="1"/>
    <col min="8" max="8" width="8.5546875" bestFit="1" customWidth="1"/>
    <col min="9" max="9" width="8.6640625" customWidth="1"/>
    <col min="10" max="10" width="13.109375" customWidth="1"/>
    <col min="11" max="11" width="12.109375" customWidth="1"/>
    <col min="13" max="13" width="13.109375" bestFit="1" customWidth="1"/>
    <col min="14" max="14" width="12.109375" bestFit="1" customWidth="1"/>
  </cols>
  <sheetData>
    <row r="1" spans="1:14" x14ac:dyDescent="0.3">
      <c r="A1" s="4" t="s">
        <v>0</v>
      </c>
      <c r="B1" s="4" t="s">
        <v>1</v>
      </c>
      <c r="C1" s="4" t="s">
        <v>2</v>
      </c>
      <c r="D1" s="4" t="s">
        <v>3</v>
      </c>
      <c r="E1" s="4" t="s">
        <v>4</v>
      </c>
      <c r="F1" s="4" t="s">
        <v>5</v>
      </c>
      <c r="G1" s="4" t="s">
        <v>28</v>
      </c>
      <c r="H1" s="4" t="s">
        <v>29</v>
      </c>
      <c r="I1" s="6"/>
    </row>
    <row r="2" spans="1:14" x14ac:dyDescent="0.3">
      <c r="A2" s="5">
        <v>101</v>
      </c>
      <c r="B2" s="5" t="s">
        <v>24</v>
      </c>
      <c r="C2" s="5" t="s">
        <v>6</v>
      </c>
      <c r="D2" s="5" t="s">
        <v>7</v>
      </c>
      <c r="E2" s="5">
        <v>2</v>
      </c>
      <c r="F2" s="5">
        <v>1266499.9999999998</v>
      </c>
      <c r="G2" s="1" t="str">
        <f>INDEX(D2:D16,MATCH(A2,A2:A16,0))</f>
        <v>Laptop</v>
      </c>
      <c r="H2" s="7">
        <f>AVERAGE(F2:F16)</f>
        <v>99999.999999999985</v>
      </c>
      <c r="M2" s="2" t="s">
        <v>26</v>
      </c>
      <c r="N2" t="s">
        <v>25</v>
      </c>
    </row>
    <row r="3" spans="1:14" x14ac:dyDescent="0.3">
      <c r="A3" s="5">
        <v>102</v>
      </c>
      <c r="B3" s="5" t="s">
        <v>8</v>
      </c>
      <c r="C3" s="5" t="s">
        <v>9</v>
      </c>
      <c r="D3" s="5" t="s">
        <v>10</v>
      </c>
      <c r="E3" s="5">
        <v>10</v>
      </c>
      <c r="F3" s="5">
        <v>2500</v>
      </c>
      <c r="G3" s="1" t="str">
        <f>INDEX(D3:D17,MATCH(A3,A3:A17,0))</f>
        <v>Notebook</v>
      </c>
      <c r="H3" s="1"/>
      <c r="M3" s="3" t="s">
        <v>13</v>
      </c>
      <c r="N3">
        <v>48000</v>
      </c>
    </row>
    <row r="4" spans="1:14" x14ac:dyDescent="0.3">
      <c r="A4" s="5">
        <v>103</v>
      </c>
      <c r="B4" s="5" t="s">
        <v>11</v>
      </c>
      <c r="C4" s="5" t="s">
        <v>6</v>
      </c>
      <c r="D4" s="5" t="s">
        <v>12</v>
      </c>
      <c r="E4" s="5">
        <v>5</v>
      </c>
      <c r="F4" s="5">
        <v>7500</v>
      </c>
      <c r="G4" s="1" t="str">
        <f t="shared" ref="G3:G7" si="0">INDEX(D4:D18,MATCH(A4,A4:A18,0))</f>
        <v>Headphones</v>
      </c>
      <c r="H4" s="1"/>
      <c r="M4" s="3" t="s">
        <v>24</v>
      </c>
      <c r="N4">
        <v>127750</v>
      </c>
    </row>
    <row r="5" spans="1:14" x14ac:dyDescent="0.3">
      <c r="A5" s="5">
        <v>104</v>
      </c>
      <c r="B5" s="5" t="s">
        <v>13</v>
      </c>
      <c r="C5" s="5" t="s">
        <v>6</v>
      </c>
      <c r="D5" s="5" t="s">
        <v>14</v>
      </c>
      <c r="E5" s="5">
        <v>1</v>
      </c>
      <c r="F5" s="5">
        <v>18000</v>
      </c>
      <c r="G5" s="1" t="str">
        <f t="shared" si="0"/>
        <v>Printer</v>
      </c>
      <c r="H5" s="1"/>
      <c r="M5" s="3" t="s">
        <v>11</v>
      </c>
      <c r="N5">
        <v>112500</v>
      </c>
    </row>
    <row r="6" spans="1:14" x14ac:dyDescent="0.3">
      <c r="A6" s="5">
        <v>105</v>
      </c>
      <c r="B6" s="5" t="s">
        <v>24</v>
      </c>
      <c r="C6" s="5" t="s">
        <v>6</v>
      </c>
      <c r="D6" s="5" t="s">
        <v>15</v>
      </c>
      <c r="E6" s="5">
        <v>8</v>
      </c>
      <c r="F6" s="5">
        <v>4000</v>
      </c>
      <c r="G6" s="1" t="str">
        <f t="shared" si="0"/>
        <v>Mouse</v>
      </c>
      <c r="H6" s="1"/>
      <c r="M6" s="3" t="s">
        <v>16</v>
      </c>
      <c r="N6">
        <v>57500</v>
      </c>
    </row>
    <row r="7" spans="1:14" x14ac:dyDescent="0.3">
      <c r="A7" s="5">
        <v>106</v>
      </c>
      <c r="B7" s="5" t="s">
        <v>16</v>
      </c>
      <c r="C7" s="5" t="s">
        <v>6</v>
      </c>
      <c r="D7" s="5" t="s">
        <v>17</v>
      </c>
      <c r="E7" s="5">
        <v>6</v>
      </c>
      <c r="F7" s="5">
        <v>6000</v>
      </c>
      <c r="G7" s="1" t="str">
        <f t="shared" si="0"/>
        <v>Keyboard</v>
      </c>
      <c r="H7" s="1"/>
      <c r="M7" s="3" t="s">
        <v>8</v>
      </c>
      <c r="N7">
        <v>7750</v>
      </c>
    </row>
    <row r="8" spans="1:14" x14ac:dyDescent="0.3">
      <c r="A8" s="5">
        <v>107</v>
      </c>
      <c r="B8" s="5" t="s">
        <v>8</v>
      </c>
      <c r="C8" s="5" t="s">
        <v>9</v>
      </c>
      <c r="D8" s="5" t="s">
        <v>18</v>
      </c>
      <c r="E8" s="5">
        <v>25</v>
      </c>
      <c r="F8" s="5">
        <v>1250</v>
      </c>
      <c r="G8" s="1" t="str">
        <f>INDEX(D2:D16,MATCH(A8,A2:A16,0))</f>
        <v>Pen</v>
      </c>
      <c r="H8" s="1"/>
      <c r="M8" s="3" t="s">
        <v>27</v>
      </c>
      <c r="N8">
        <v>353500</v>
      </c>
    </row>
    <row r="9" spans="1:14" x14ac:dyDescent="0.3">
      <c r="A9" s="5">
        <v>108</v>
      </c>
      <c r="B9" s="5" t="s">
        <v>13</v>
      </c>
      <c r="C9" s="5" t="s">
        <v>23</v>
      </c>
      <c r="D9" s="5" t="s">
        <v>19</v>
      </c>
      <c r="E9" s="5">
        <v>4</v>
      </c>
      <c r="F9" s="5">
        <v>16000</v>
      </c>
      <c r="G9" s="1" t="str">
        <f t="shared" ref="G9:G16" si="1">INDEX(D3:D17,MATCH(A9,A3:A17,0))</f>
        <v>Chair</v>
      </c>
      <c r="H9" s="1"/>
    </row>
    <row r="10" spans="1:14" x14ac:dyDescent="0.3">
      <c r="A10" s="5">
        <v>109</v>
      </c>
      <c r="B10" s="5" t="s">
        <v>11</v>
      </c>
      <c r="C10" s="5" t="s">
        <v>6</v>
      </c>
      <c r="D10" s="5" t="s">
        <v>20</v>
      </c>
      <c r="E10" s="5">
        <v>3</v>
      </c>
      <c r="F10" s="5">
        <v>45000</v>
      </c>
      <c r="G10" s="1" t="str">
        <f t="shared" si="1"/>
        <v>Monitor</v>
      </c>
      <c r="H10" s="1"/>
    </row>
    <row r="11" spans="1:14" x14ac:dyDescent="0.3">
      <c r="A11" s="5">
        <v>110</v>
      </c>
      <c r="B11" s="5" t="s">
        <v>16</v>
      </c>
      <c r="C11" s="5" t="s">
        <v>6</v>
      </c>
      <c r="D11" s="5" t="s">
        <v>21</v>
      </c>
      <c r="E11" s="5">
        <v>2</v>
      </c>
      <c r="F11" s="5">
        <v>50000</v>
      </c>
      <c r="G11" s="1" t="str">
        <f t="shared" si="1"/>
        <v>Tablet</v>
      </c>
      <c r="H11" s="1"/>
    </row>
    <row r="12" spans="1:14" x14ac:dyDescent="0.3">
      <c r="A12" s="5">
        <v>111</v>
      </c>
      <c r="B12" s="5" t="s">
        <v>24</v>
      </c>
      <c r="C12" s="5" t="s">
        <v>9</v>
      </c>
      <c r="D12" s="5" t="s">
        <v>10</v>
      </c>
      <c r="E12" s="5">
        <v>15</v>
      </c>
      <c r="F12" s="5">
        <v>3750</v>
      </c>
      <c r="G12" s="1" t="str">
        <f t="shared" si="1"/>
        <v>Notebook</v>
      </c>
      <c r="H12" s="1"/>
    </row>
    <row r="13" spans="1:14" x14ac:dyDescent="0.3">
      <c r="A13" s="5">
        <v>112</v>
      </c>
      <c r="B13" s="5" t="s">
        <v>8</v>
      </c>
      <c r="C13" s="5" t="s">
        <v>6</v>
      </c>
      <c r="D13" s="5" t="s">
        <v>17</v>
      </c>
      <c r="E13" s="5">
        <v>4</v>
      </c>
      <c r="F13" s="5">
        <v>4000</v>
      </c>
      <c r="G13" s="1" t="str">
        <f t="shared" si="1"/>
        <v>Keyboard</v>
      </c>
      <c r="H13" s="1"/>
    </row>
    <row r="14" spans="1:14" x14ac:dyDescent="0.3">
      <c r="A14" s="5">
        <v>113</v>
      </c>
      <c r="B14" s="5" t="s">
        <v>13</v>
      </c>
      <c r="C14" s="5" t="s">
        <v>23</v>
      </c>
      <c r="D14" s="5" t="s">
        <v>22</v>
      </c>
      <c r="E14" s="5">
        <v>2</v>
      </c>
      <c r="F14" s="5">
        <v>14000</v>
      </c>
      <c r="G14" s="1" t="str">
        <f t="shared" si="1"/>
        <v>Desk</v>
      </c>
      <c r="H14" s="1"/>
    </row>
    <row r="15" spans="1:14" x14ac:dyDescent="0.3">
      <c r="A15" s="5">
        <v>114</v>
      </c>
      <c r="B15" s="5" t="s">
        <v>11</v>
      </c>
      <c r="C15" s="5" t="s">
        <v>6</v>
      </c>
      <c r="D15" s="5" t="s">
        <v>7</v>
      </c>
      <c r="E15" s="5">
        <v>1</v>
      </c>
      <c r="F15" s="5">
        <v>60000</v>
      </c>
      <c r="G15" s="1" t="str">
        <f t="shared" si="1"/>
        <v>Laptop</v>
      </c>
      <c r="H15" s="1"/>
    </row>
    <row r="16" spans="1:14" x14ac:dyDescent="0.3">
      <c r="A16" s="5">
        <v>115</v>
      </c>
      <c r="B16" s="5" t="s">
        <v>16</v>
      </c>
      <c r="C16" s="5" t="s">
        <v>9</v>
      </c>
      <c r="D16" s="5" t="s">
        <v>18</v>
      </c>
      <c r="E16" s="5">
        <v>30</v>
      </c>
      <c r="F16" s="5">
        <v>1500</v>
      </c>
      <c r="G16" s="1" t="str">
        <f t="shared" si="1"/>
        <v>Pen</v>
      </c>
      <c r="H16" s="1"/>
    </row>
    <row r="18" spans="1:2" x14ac:dyDescent="0.3">
      <c r="A18" t="s">
        <v>39</v>
      </c>
      <c r="B18" t="s">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A32FA-53A9-481F-B7DD-FCF840D34AC0}">
  <sheetPr codeName="Sheet2"/>
  <dimension ref="A1:E15"/>
  <sheetViews>
    <sheetView tabSelected="1" workbookViewId="0">
      <selection activeCell="I11" sqref="I11"/>
    </sheetView>
  </sheetViews>
  <sheetFormatPr defaultRowHeight="14.4" x14ac:dyDescent="0.3"/>
  <cols>
    <col min="1" max="1" width="10" bestFit="1" customWidth="1"/>
    <col min="5" max="5" width="10" bestFit="1" customWidth="1"/>
  </cols>
  <sheetData>
    <row r="1" spans="1:5" x14ac:dyDescent="0.3">
      <c r="A1" s="8" t="s">
        <v>30</v>
      </c>
      <c r="B1" s="8" t="s">
        <v>31</v>
      </c>
      <c r="D1" s="8" t="s">
        <v>35</v>
      </c>
      <c r="E1" s="8" t="s">
        <v>36</v>
      </c>
    </row>
    <row r="2" spans="1:5" x14ac:dyDescent="0.3">
      <c r="A2" s="1" t="s">
        <v>32</v>
      </c>
      <c r="B2" s="1" t="s">
        <v>37</v>
      </c>
      <c r="D2" s="1" t="s">
        <v>31</v>
      </c>
      <c r="E2" s="1" t="s">
        <v>37</v>
      </c>
    </row>
    <row r="3" spans="1:5" x14ac:dyDescent="0.3">
      <c r="A3" s="1" t="s">
        <v>33</v>
      </c>
      <c r="B3" s="1" t="s">
        <v>34</v>
      </c>
    </row>
    <row r="6" spans="1:5" x14ac:dyDescent="0.3">
      <c r="A6">
        <v>1</v>
      </c>
    </row>
    <row r="7" spans="1:5" x14ac:dyDescent="0.3">
      <c r="A7">
        <v>1</v>
      </c>
    </row>
    <row r="8" spans="1:5" x14ac:dyDescent="0.3">
      <c r="A8">
        <v>1</v>
      </c>
    </row>
    <row r="9" spans="1:5" x14ac:dyDescent="0.3">
      <c r="A9">
        <v>1</v>
      </c>
    </row>
    <row r="10" spans="1:5" x14ac:dyDescent="0.3">
      <c r="A10">
        <v>1</v>
      </c>
    </row>
    <row r="11" spans="1:5" x14ac:dyDescent="0.3">
      <c r="A11">
        <v>1</v>
      </c>
    </row>
    <row r="12" spans="1:5" x14ac:dyDescent="0.3">
      <c r="A12">
        <v>1</v>
      </c>
    </row>
    <row r="13" spans="1:5" x14ac:dyDescent="0.3">
      <c r="A13">
        <v>1</v>
      </c>
    </row>
    <row r="14" spans="1:5" x14ac:dyDescent="0.3">
      <c r="A14">
        <v>1</v>
      </c>
    </row>
    <row r="15" spans="1:5" x14ac:dyDescent="0.3">
      <c r="A15">
        <v>1</v>
      </c>
    </row>
  </sheetData>
  <conditionalFormatting sqref="A6:C11 A12:A15">
    <cfRule type="expression" dxfId="0" priority="1">
      <formula>COUNTA($A6)</formula>
    </cfRule>
  </conditionalFormatting>
  <dataValidations count="2">
    <dataValidation type="list" allowBlank="1" showInputMessage="1" showErrorMessage="1" sqref="D2" xr:uid="{220DED79-0AA5-4277-B2BA-3F330151B396}">
      <formula1>"BBA, BCA"</formula1>
    </dataValidation>
    <dataValidation type="list" allowBlank="1" showInputMessage="1" showErrorMessage="1" sqref="E2" xr:uid="{07095501-57CF-4937-BCCA-142AEA7E8621}">
      <formula1>INDIRECT($D$2)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Sheet2</vt:lpstr>
      <vt:lpstr>BBA</vt:lpstr>
      <vt:lpstr>BCA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Uttam kothari</cp:lastModifiedBy>
  <dcterms:created xsi:type="dcterms:W3CDTF">2026-08-19T04:28:46Z</dcterms:created>
  <dcterms:modified xsi:type="dcterms:W3CDTF">2026-08-21T00:28:05Z</dcterms:modified>
</cp:coreProperties>
</file>