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-3\OAT\Lab-10\"/>
    </mc:Choice>
  </mc:AlternateContent>
  <xr:revisionPtr revIDLastSave="0" documentId="13_ncr:1_{DB9C5EEB-2864-4A9F-A23D-8BF40220E406}" xr6:coauthVersionLast="47" xr6:coauthVersionMax="47" xr10:uidLastSave="{00000000-0000-0000-0000-000000000000}"/>
  <bookViews>
    <workbookView xWindow="-108" yWindow="-108" windowWidth="23256" windowHeight="12456" xr2:uid="{5D03DD86-7531-4A8E-871C-30DCA3EC4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8" i="1"/>
  <c r="K5" i="1"/>
  <c r="K6" i="1"/>
  <c r="K11" i="1"/>
  <c r="K4" i="1"/>
  <c r="K7" i="1"/>
  <c r="K13" i="1"/>
  <c r="K14" i="1"/>
  <c r="K16" i="1"/>
  <c r="K15" i="1"/>
  <c r="K10" i="1"/>
  <c r="K9" i="1"/>
  <c r="K3" i="1"/>
  <c r="K12" i="1"/>
  <c r="J2" i="1"/>
  <c r="I2" i="1"/>
  <c r="J8" i="1"/>
  <c r="I8" i="1"/>
  <c r="J5" i="1"/>
  <c r="I5" i="1"/>
  <c r="J6" i="1"/>
  <c r="I6" i="1"/>
  <c r="J11" i="1"/>
  <c r="I11" i="1"/>
  <c r="J4" i="1"/>
  <c r="I4" i="1"/>
  <c r="J7" i="1"/>
  <c r="I7" i="1"/>
  <c r="J13" i="1"/>
  <c r="I13" i="1"/>
  <c r="J14" i="1"/>
  <c r="I14" i="1"/>
  <c r="J16" i="1"/>
  <c r="I16" i="1"/>
  <c r="J15" i="1"/>
  <c r="I15" i="1"/>
  <c r="J10" i="1"/>
  <c r="I10" i="1"/>
  <c r="J9" i="1"/>
  <c r="I9" i="1"/>
  <c r="J3" i="1"/>
  <c r="I3" i="1"/>
  <c r="J12" i="1"/>
  <c r="I12" i="1"/>
</calcChain>
</file>

<file path=xl/sharedStrings.xml><?xml version="1.0" encoding="utf-8"?>
<sst xmlns="http://schemas.openxmlformats.org/spreadsheetml/2006/main" count="58" uniqueCount="46">
  <si>
    <t>ROLL NO.</t>
  </si>
  <si>
    <t>FIRST NAME</t>
  </si>
  <si>
    <t>LAST NAME</t>
  </si>
  <si>
    <t>SUB1</t>
  </si>
  <si>
    <t>SUB2</t>
  </si>
  <si>
    <t>SUB3</t>
  </si>
  <si>
    <t>SUB4</t>
  </si>
  <si>
    <t>SUB5</t>
  </si>
  <si>
    <t>TOTAL</t>
  </si>
  <si>
    <t>PERENTAGE</t>
  </si>
  <si>
    <t>GADE</t>
  </si>
  <si>
    <t>John</t>
  </si>
  <si>
    <t>Smith</t>
  </si>
  <si>
    <t>Emma</t>
  </si>
  <si>
    <t>Johnson</t>
  </si>
  <si>
    <t>Liam</t>
  </si>
  <si>
    <t>Brown</t>
  </si>
  <si>
    <t>Olivia</t>
  </si>
  <si>
    <t>Davis</t>
  </si>
  <si>
    <t>Noah</t>
  </si>
  <si>
    <t>Wilson</t>
  </si>
  <si>
    <t>Ava</t>
  </si>
  <si>
    <t>Miller</t>
  </si>
  <si>
    <t>William</t>
  </si>
  <si>
    <t>Moore</t>
  </si>
  <si>
    <t>Sophia</t>
  </si>
  <si>
    <t>Taylor</t>
  </si>
  <si>
    <t>James</t>
  </si>
  <si>
    <t>Anderson</t>
  </si>
  <si>
    <t>Isabella</t>
  </si>
  <si>
    <t>Thomas</t>
  </si>
  <si>
    <t>Benjamin</t>
  </si>
  <si>
    <t>Jackson</t>
  </si>
  <si>
    <t>Mia</t>
  </si>
  <si>
    <t>White</t>
  </si>
  <si>
    <t>Lucas</t>
  </si>
  <si>
    <t>Harris</t>
  </si>
  <si>
    <t>Charlotte</t>
  </si>
  <si>
    <t>Martin</t>
  </si>
  <si>
    <t>Henry</t>
  </si>
  <si>
    <t>Thompson</t>
  </si>
  <si>
    <t>CGPA</t>
  </si>
  <si>
    <t>DEPARTMENT</t>
  </si>
  <si>
    <t>IT</t>
  </si>
  <si>
    <t>ICT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</si>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</sst>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4CA-B3FC-4596-8EC3-898E1C7C394C}">
  <dimension ref="A1:M16"/>
  <sheetViews>
    <sheetView tabSelected="1" workbookViewId="0">
      <selection activeCell="B20" sqref="B20"/>
    </sheetView>
  </sheetViews>
  <sheetFormatPr defaultRowHeight="14.4" x14ac:dyDescent="0.3"/>
  <cols>
    <col min="1" max="1" width="12" bestFit="1" customWidth="1"/>
    <col min="2" max="2" width="16.6640625" bestFit="1" customWidth="1"/>
    <col min="3" max="3" width="16.6640625" customWidth="1"/>
    <col min="10" max="10" width="14.88671875" bestFit="1" customWidth="1"/>
    <col min="13" max="13" width="17.33203125" bestFit="1" customWidth="1"/>
  </cols>
  <sheetData>
    <row r="1" spans="1:13" ht="18" x14ac:dyDescent="0.3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41</v>
      </c>
      <c r="M1" s="5" t="s">
        <v>42</v>
      </c>
    </row>
    <row r="2" spans="1:13" x14ac:dyDescent="0.3">
      <c r="A2" s="1">
        <v>115</v>
      </c>
      <c r="B2" s="7" t="s">
        <v>39</v>
      </c>
      <c r="C2" s="7" t="s">
        <v>40</v>
      </c>
      <c r="D2" s="2">
        <v>99</v>
      </c>
      <c r="E2" s="2">
        <v>86</v>
      </c>
      <c r="F2" s="2">
        <v>46</v>
      </c>
      <c r="G2" s="2">
        <v>47</v>
      </c>
      <c r="H2" s="2">
        <v>72</v>
      </c>
      <c r="I2" s="3">
        <f t="shared" ref="I2:I16" si="0">SUM(D2:H2)</f>
        <v>350</v>
      </c>
      <c r="J2" s="4">
        <f t="shared" ref="J2:J16" si="1">AVERAGE(D2:H2)/100</f>
        <v>0.7</v>
      </c>
      <c r="K2" s="3" t="str">
        <f t="shared" ref="K2:K16" si="2">IF(D2&gt;=70,"A",IF(D2&gt;=60,"B",IF(D2&gt;=50,"C","FAIL")))</f>
        <v>A</v>
      </c>
      <c r="L2" s="3">
        <v>7</v>
      </c>
      <c r="M2" s="3" t="s">
        <v>45</v>
      </c>
    </row>
    <row r="3" spans="1:13" x14ac:dyDescent="0.3">
      <c r="A3" s="1">
        <v>102</v>
      </c>
      <c r="B3" s="7" t="s">
        <v>13</v>
      </c>
      <c r="C3" s="7" t="s">
        <v>14</v>
      </c>
      <c r="D3" s="2">
        <v>63</v>
      </c>
      <c r="E3" s="2">
        <v>54</v>
      </c>
      <c r="F3" s="2">
        <v>79</v>
      </c>
      <c r="G3" s="2">
        <v>69</v>
      </c>
      <c r="H3" s="2">
        <v>85</v>
      </c>
      <c r="I3" s="3">
        <f t="shared" si="0"/>
        <v>350</v>
      </c>
      <c r="J3" s="4">
        <f t="shared" si="1"/>
        <v>0.7</v>
      </c>
      <c r="K3" s="3" t="str">
        <f t="shared" si="2"/>
        <v>B</v>
      </c>
      <c r="L3" s="3">
        <v>7</v>
      </c>
      <c r="M3" s="3" t="s">
        <v>44</v>
      </c>
    </row>
    <row r="4" spans="1:13" x14ac:dyDescent="0.3">
      <c r="A4" s="1">
        <v>110</v>
      </c>
      <c r="B4" s="7" t="s">
        <v>29</v>
      </c>
      <c r="C4" s="7" t="s">
        <v>30</v>
      </c>
      <c r="D4" s="2">
        <v>91</v>
      </c>
      <c r="E4" s="2">
        <v>76</v>
      </c>
      <c r="F4" s="2">
        <v>41</v>
      </c>
      <c r="G4" s="2">
        <v>52</v>
      </c>
      <c r="H4" s="2">
        <v>67</v>
      </c>
      <c r="I4" s="3">
        <f t="shared" si="0"/>
        <v>327</v>
      </c>
      <c r="J4" s="4">
        <f t="shared" si="1"/>
        <v>0.65400000000000003</v>
      </c>
      <c r="K4" s="3" t="str">
        <f t="shared" si="2"/>
        <v>A</v>
      </c>
      <c r="L4" s="3">
        <v>6.54</v>
      </c>
      <c r="M4" s="3" t="s">
        <v>43</v>
      </c>
    </row>
    <row r="5" spans="1:13" x14ac:dyDescent="0.3">
      <c r="A5" s="1">
        <v>113</v>
      </c>
      <c r="B5" s="7" t="s">
        <v>35</v>
      </c>
      <c r="C5" s="7" t="s">
        <v>36</v>
      </c>
      <c r="D5" s="2">
        <v>94</v>
      </c>
      <c r="E5" s="2">
        <v>69</v>
      </c>
      <c r="F5" s="2">
        <v>44</v>
      </c>
      <c r="G5" s="2">
        <v>49</v>
      </c>
      <c r="H5" s="2">
        <v>70</v>
      </c>
      <c r="I5" s="3">
        <f t="shared" si="0"/>
        <v>326</v>
      </c>
      <c r="J5" s="4">
        <f t="shared" si="1"/>
        <v>0.65200000000000002</v>
      </c>
      <c r="K5" s="3" t="str">
        <f t="shared" si="2"/>
        <v>A</v>
      </c>
      <c r="L5" s="3">
        <v>6.52</v>
      </c>
      <c r="M5" s="3" t="s">
        <v>43</v>
      </c>
    </row>
    <row r="6" spans="1:13" x14ac:dyDescent="0.3">
      <c r="A6" s="1">
        <v>112</v>
      </c>
      <c r="B6" s="7" t="s">
        <v>33</v>
      </c>
      <c r="C6" s="7" t="s">
        <v>34</v>
      </c>
      <c r="D6" s="2">
        <v>76</v>
      </c>
      <c r="E6" s="2">
        <v>87</v>
      </c>
      <c r="F6" s="2">
        <v>43</v>
      </c>
      <c r="G6" s="2">
        <v>50</v>
      </c>
      <c r="H6" s="2">
        <v>69</v>
      </c>
      <c r="I6" s="3">
        <f t="shared" si="0"/>
        <v>325</v>
      </c>
      <c r="J6" s="4">
        <f t="shared" si="1"/>
        <v>0.65</v>
      </c>
      <c r="K6" s="3" t="str">
        <f t="shared" si="2"/>
        <v>A</v>
      </c>
      <c r="L6" s="3">
        <v>6.5</v>
      </c>
      <c r="M6" s="3" t="s">
        <v>43</v>
      </c>
    </row>
    <row r="7" spans="1:13" x14ac:dyDescent="0.3">
      <c r="A7" s="1">
        <v>109</v>
      </c>
      <c r="B7" s="7" t="s">
        <v>27</v>
      </c>
      <c r="C7" s="7" t="s">
        <v>28</v>
      </c>
      <c r="D7" s="2">
        <v>63</v>
      </c>
      <c r="E7" s="2">
        <v>96</v>
      </c>
      <c r="F7" s="2">
        <v>40</v>
      </c>
      <c r="G7" s="2">
        <v>53</v>
      </c>
      <c r="H7" s="2">
        <v>66</v>
      </c>
      <c r="I7" s="3">
        <f t="shared" si="0"/>
        <v>318</v>
      </c>
      <c r="J7" s="4">
        <f t="shared" si="1"/>
        <v>0.63600000000000001</v>
      </c>
      <c r="K7" s="3" t="str">
        <f t="shared" si="2"/>
        <v>B</v>
      </c>
      <c r="L7" s="3">
        <v>6.36</v>
      </c>
      <c r="M7" s="3" t="s">
        <v>45</v>
      </c>
    </row>
    <row r="8" spans="1:13" x14ac:dyDescent="0.3">
      <c r="A8" s="1">
        <v>114</v>
      </c>
      <c r="B8" s="7" t="s">
        <v>37</v>
      </c>
      <c r="C8" s="7" t="s">
        <v>38</v>
      </c>
      <c r="D8" s="2">
        <v>99</v>
      </c>
      <c r="E8" s="2">
        <v>54</v>
      </c>
      <c r="F8" s="2">
        <v>45</v>
      </c>
      <c r="G8" s="2">
        <v>48</v>
      </c>
      <c r="H8" s="2">
        <v>71</v>
      </c>
      <c r="I8" s="3">
        <f t="shared" si="0"/>
        <v>317</v>
      </c>
      <c r="J8" s="4">
        <f t="shared" si="1"/>
        <v>0.63400000000000001</v>
      </c>
      <c r="K8" s="3" t="str">
        <f t="shared" si="2"/>
        <v>A</v>
      </c>
      <c r="L8" s="3">
        <v>6.34</v>
      </c>
      <c r="M8" s="3" t="s">
        <v>44</v>
      </c>
    </row>
    <row r="9" spans="1:13" x14ac:dyDescent="0.3">
      <c r="A9" s="1">
        <v>103</v>
      </c>
      <c r="B9" s="7" t="s">
        <v>15</v>
      </c>
      <c r="C9" s="7" t="s">
        <v>16</v>
      </c>
      <c r="D9" s="2">
        <v>83</v>
      </c>
      <c r="E9" s="2">
        <v>79</v>
      </c>
      <c r="F9" s="2">
        <v>34</v>
      </c>
      <c r="G9" s="2">
        <v>59</v>
      </c>
      <c r="H9" s="2">
        <v>60</v>
      </c>
      <c r="I9" s="3">
        <f t="shared" si="0"/>
        <v>315</v>
      </c>
      <c r="J9" s="4">
        <f t="shared" si="1"/>
        <v>0.63</v>
      </c>
      <c r="K9" s="3" t="str">
        <f t="shared" si="2"/>
        <v>A</v>
      </c>
      <c r="L9" s="3">
        <v>6.3</v>
      </c>
      <c r="M9" s="3" t="s">
        <v>45</v>
      </c>
    </row>
    <row r="10" spans="1:13" x14ac:dyDescent="0.3">
      <c r="A10" s="1">
        <v>104</v>
      </c>
      <c r="B10" s="7" t="s">
        <v>17</v>
      </c>
      <c r="C10" s="7" t="s">
        <v>18</v>
      </c>
      <c r="D10" s="2">
        <v>94</v>
      </c>
      <c r="E10" s="2">
        <v>56</v>
      </c>
      <c r="F10" s="2">
        <v>35</v>
      </c>
      <c r="G10" s="2">
        <v>58</v>
      </c>
      <c r="H10" s="2">
        <v>61</v>
      </c>
      <c r="I10" s="3">
        <f t="shared" si="0"/>
        <v>304</v>
      </c>
      <c r="J10" s="4">
        <f t="shared" si="1"/>
        <v>0.60799999999999998</v>
      </c>
      <c r="K10" s="3" t="str">
        <f t="shared" si="2"/>
        <v>A</v>
      </c>
      <c r="L10" s="3">
        <v>6.08</v>
      </c>
      <c r="M10" s="3" t="s">
        <v>44</v>
      </c>
    </row>
    <row r="11" spans="1:13" x14ac:dyDescent="0.3">
      <c r="A11" s="1">
        <v>111</v>
      </c>
      <c r="B11" s="7" t="s">
        <v>31</v>
      </c>
      <c r="C11" s="7" t="s">
        <v>32</v>
      </c>
      <c r="D11" s="2">
        <v>83</v>
      </c>
      <c r="E11" s="2">
        <v>59</v>
      </c>
      <c r="F11" s="2">
        <v>42</v>
      </c>
      <c r="G11" s="2">
        <v>51</v>
      </c>
      <c r="H11" s="2">
        <v>68</v>
      </c>
      <c r="I11" s="3">
        <f t="shared" si="0"/>
        <v>303</v>
      </c>
      <c r="J11" s="4">
        <f t="shared" si="1"/>
        <v>0.60599999999999998</v>
      </c>
      <c r="K11" s="3" t="str">
        <f t="shared" si="2"/>
        <v>A</v>
      </c>
      <c r="L11" s="3">
        <v>6.06</v>
      </c>
      <c r="M11" s="3" t="s">
        <v>44</v>
      </c>
    </row>
    <row r="12" spans="1:13" x14ac:dyDescent="0.3">
      <c r="A12" s="1">
        <v>101</v>
      </c>
      <c r="B12" s="7" t="s">
        <v>11</v>
      </c>
      <c r="C12" s="7" t="s">
        <v>12</v>
      </c>
      <c r="D12" s="2">
        <v>52</v>
      </c>
      <c r="E12" s="2">
        <v>45</v>
      </c>
      <c r="F12" s="2">
        <v>68</v>
      </c>
      <c r="G12" s="2">
        <v>78</v>
      </c>
      <c r="H12" s="2">
        <v>59</v>
      </c>
      <c r="I12" s="3">
        <f t="shared" si="0"/>
        <v>302</v>
      </c>
      <c r="J12" s="4">
        <f t="shared" si="1"/>
        <v>0.60399999999999998</v>
      </c>
      <c r="K12" s="3" t="str">
        <f t="shared" si="2"/>
        <v>C</v>
      </c>
      <c r="L12" s="3">
        <v>6.04</v>
      </c>
      <c r="M12" s="3" t="s">
        <v>43</v>
      </c>
    </row>
    <row r="13" spans="1:13" x14ac:dyDescent="0.3">
      <c r="A13" s="1">
        <v>108</v>
      </c>
      <c r="B13" s="7" t="s">
        <v>25</v>
      </c>
      <c r="C13" s="7" t="s">
        <v>26</v>
      </c>
      <c r="D13" s="2">
        <v>58</v>
      </c>
      <c r="E13" s="2">
        <v>86</v>
      </c>
      <c r="F13" s="2">
        <v>39</v>
      </c>
      <c r="G13" s="2">
        <v>54</v>
      </c>
      <c r="H13" s="2">
        <v>65</v>
      </c>
      <c r="I13" s="3">
        <f t="shared" si="0"/>
        <v>302</v>
      </c>
      <c r="J13" s="4">
        <f t="shared" si="1"/>
        <v>0.60399999999999998</v>
      </c>
      <c r="K13" s="3" t="str">
        <f t="shared" si="2"/>
        <v>C</v>
      </c>
      <c r="L13" s="3">
        <v>6.4</v>
      </c>
      <c r="M13" s="3" t="s">
        <v>43</v>
      </c>
    </row>
    <row r="14" spans="1:13" x14ac:dyDescent="0.3">
      <c r="A14" s="1">
        <v>107</v>
      </c>
      <c r="B14" s="7" t="s">
        <v>23</v>
      </c>
      <c r="C14" s="7" t="s">
        <v>24</v>
      </c>
      <c r="D14" s="2">
        <v>79</v>
      </c>
      <c r="E14" s="2">
        <v>59</v>
      </c>
      <c r="F14" s="2">
        <v>38</v>
      </c>
      <c r="G14" s="2">
        <v>55</v>
      </c>
      <c r="H14" s="2">
        <v>64</v>
      </c>
      <c r="I14" s="3">
        <f t="shared" si="0"/>
        <v>295</v>
      </c>
      <c r="J14" s="4">
        <f t="shared" si="1"/>
        <v>0.59</v>
      </c>
      <c r="K14" s="3" t="str">
        <f t="shared" si="2"/>
        <v>A</v>
      </c>
      <c r="L14" s="3">
        <v>5.9</v>
      </c>
      <c r="M14" s="3" t="s">
        <v>43</v>
      </c>
    </row>
    <row r="15" spans="1:13" x14ac:dyDescent="0.3">
      <c r="A15" s="1">
        <v>105</v>
      </c>
      <c r="B15" s="7" t="s">
        <v>19</v>
      </c>
      <c r="C15" s="7" t="s">
        <v>20</v>
      </c>
      <c r="D15" s="2">
        <v>68</v>
      </c>
      <c r="E15" s="2">
        <v>53</v>
      </c>
      <c r="F15" s="2">
        <v>36</v>
      </c>
      <c r="G15" s="2">
        <v>57</v>
      </c>
      <c r="H15" s="2">
        <v>62</v>
      </c>
      <c r="I15" s="3">
        <f t="shared" si="0"/>
        <v>276</v>
      </c>
      <c r="J15" s="4">
        <f t="shared" si="1"/>
        <v>0.55200000000000005</v>
      </c>
      <c r="K15" s="3" t="str">
        <f t="shared" si="2"/>
        <v>B</v>
      </c>
      <c r="L15" s="3">
        <v>5.52</v>
      </c>
      <c r="M15" s="3" t="s">
        <v>43</v>
      </c>
    </row>
    <row r="16" spans="1:13" x14ac:dyDescent="0.3">
      <c r="A16" s="1">
        <v>106</v>
      </c>
      <c r="B16" s="7" t="s">
        <v>21</v>
      </c>
      <c r="C16" s="7" t="s">
        <v>22</v>
      </c>
      <c r="D16" s="2">
        <v>49</v>
      </c>
      <c r="E16" s="2">
        <v>57</v>
      </c>
      <c r="F16" s="2">
        <v>37</v>
      </c>
      <c r="G16" s="2">
        <v>56</v>
      </c>
      <c r="H16" s="2">
        <v>63</v>
      </c>
      <c r="I16" s="3">
        <f t="shared" si="0"/>
        <v>262</v>
      </c>
      <c r="J16" s="4">
        <f t="shared" si="1"/>
        <v>0.52400000000000002</v>
      </c>
      <c r="K16" s="3" t="str">
        <f t="shared" si="2"/>
        <v>FAIL</v>
      </c>
      <c r="L16" s="3">
        <v>5.24</v>
      </c>
      <c r="M16" s="3" t="s">
        <v>44</v>
      </c>
    </row>
  </sheetData>
  <sortState xmlns:xlrd2="http://schemas.microsoft.com/office/spreadsheetml/2017/richdata2" ref="A2:M16">
    <sortCondition descending="1" ref="J2:J16"/>
    <sortCondition ref="D2:D16"/>
    <sortCondition ref="A2:A16"/>
  </sortState>
  <conditionalFormatting sqref="D2:H16">
    <cfRule type="cellIs" dxfId="2" priority="1" operator="lessThan">
      <formula>50</formula>
    </cfRule>
    <cfRule type="cellIs" dxfId="1" priority="2" operator="between">
      <formula>50</formula>
      <formula>75</formula>
    </cfRule>
    <cfRule type="cellIs" dxfId="0" priority="3" operator="greaterThan">
      <formula>75</formula>
    </cfRule>
  </conditionalFormatting>
  <dataValidations count="3">
    <dataValidation type="whole" allowBlank="1" showInputMessage="1" showErrorMessage="1" promptTitle="failed" prompt="Mark between 33 to 100" sqref="D2:H16" xr:uid="{CE135E33-DE9B-422C-8505-47CE732DB91F}">
      <formula1>33</formula1>
      <formula2>100</formula2>
    </dataValidation>
    <dataValidation type="decimal" allowBlank="1" showInputMessage="1" showErrorMessage="1" sqref="L1:L16" xr:uid="{DCD35F93-4383-4DDF-8EE4-55BBDBAFAF76}">
      <formula1>0</formula1>
      <formula2>10</formula2>
    </dataValidation>
    <dataValidation type="list" allowBlank="1" showInputMessage="1" showErrorMessage="1" sqref="M1:M16" xr:uid="{C56F725D-40F0-4966-B1C5-336D764BDE66}">
      <formula1>"CE,IT,ICT"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Uttam kothari</cp:lastModifiedBy>
  <dcterms:created xsi:type="dcterms:W3CDTF">2026-08-12T04:24:58Z</dcterms:created>
  <dcterms:modified xsi:type="dcterms:W3CDTF">2026-08-13T03:44:25Z</dcterms:modified>
</cp:coreProperties>
</file>